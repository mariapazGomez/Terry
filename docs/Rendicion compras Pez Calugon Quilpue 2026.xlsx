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mez\OneDrive\Documentos\"/>
    </mc:Choice>
  </mc:AlternateContent>
  <xr:revisionPtr revIDLastSave="0" documentId="8_{2C079A23-9DB7-4FDC-B51A-1D482CA1F7A2}" xr6:coauthVersionLast="47" xr6:coauthVersionMax="47" xr10:uidLastSave="{00000000-0000-0000-0000-000000000000}"/>
  <bookViews>
    <workbookView xWindow="-28920" yWindow="-795" windowWidth="29040" windowHeight="15720" xr2:uid="{278656B1-1411-4CC2-9A71-55782413A6B3}"/>
  </bookViews>
  <sheets>
    <sheet name="comp Feb 2026" sheetId="1" r:id="rId1"/>
    <sheet name="comp Marzo 2026" sheetId="2" r:id="rId2"/>
    <sheet name="comp Abril 2026" sheetId="3" r:id="rId3"/>
    <sheet name="Hoja1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82" i="3" l="1"/>
  <c r="G9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carlos gomez</author>
  </authors>
  <commentList>
    <comment ref="C26" authorId="0" shapeId="0" xr:uid="{BAC67479-EB72-4F52-A0E2-F5B3E88DF02B}">
      <text>
        <r>
          <rPr>
            <b/>
            <sz val="9"/>
            <color indexed="81"/>
            <rFont val="Tahoma"/>
            <charset val="1"/>
          </rPr>
          <t>carlos gomez:</t>
        </r>
        <r>
          <rPr>
            <sz val="9"/>
            <color indexed="81"/>
            <rFont val="Tahoma"/>
            <charset val="1"/>
          </rPr>
          <t xml:space="preserve">
6.000 pimentones
23.000 cebollas 2 blan y 1 mora</t>
        </r>
      </text>
    </comment>
    <comment ref="C27" authorId="0" shapeId="0" xr:uid="{FD980781-EC48-42AB-ABEF-DFA04533078F}">
      <text>
        <r>
          <rPr>
            <b/>
            <sz val="9"/>
            <color indexed="81"/>
            <rFont val="Tahoma"/>
            <charset val="1"/>
          </rPr>
          <t>carlos gomez:</t>
        </r>
        <r>
          <rPr>
            <sz val="9"/>
            <color indexed="81"/>
            <rFont val="Tahoma"/>
            <charset val="1"/>
          </rPr>
          <t xml:space="preserve">
choros 10.000
almejas 10.000
choro 5.000</t>
        </r>
      </text>
    </comment>
    <comment ref="C28" authorId="0" shapeId="0" xr:uid="{E0A6DF3B-AB4E-4A98-90B7-0BFB3D0B0B32}">
      <text>
        <r>
          <rPr>
            <b/>
            <sz val="9"/>
            <color indexed="81"/>
            <rFont val="Tahoma"/>
            <charset val="1"/>
          </rPr>
          <t>carlos gomez:</t>
        </r>
        <r>
          <rPr>
            <sz val="9"/>
            <color indexed="81"/>
            <rFont val="Tahoma"/>
            <charset val="1"/>
          </rPr>
          <t xml:space="preserve">
24.000 2 malla limones
8.000  cilantro
10.000 saco papas</t>
        </r>
      </text>
    </comment>
    <comment ref="C30" authorId="0" shapeId="0" xr:uid="{75FFD21B-A7C9-4C7D-B18C-0C145CB4E705}">
      <text>
        <r>
          <rPr>
            <b/>
            <sz val="9"/>
            <color indexed="81"/>
            <rFont val="Tahoma"/>
            <charset val="1"/>
          </rPr>
          <t>carlos gomez:</t>
        </r>
        <r>
          <rPr>
            <sz val="9"/>
            <color indexed="81"/>
            <rFont val="Tahoma"/>
            <charset val="1"/>
          </rPr>
          <t xml:space="preserve">
pepinillo</t>
        </r>
      </text>
    </comment>
    <comment ref="G38" authorId="0" shapeId="0" xr:uid="{FDD4AFF7-2331-4149-BECF-D831454CE52A}">
      <text>
        <r>
          <rPr>
            <b/>
            <sz val="9"/>
            <color indexed="81"/>
            <rFont val="Tahoma"/>
            <charset val="1"/>
          </rPr>
          <t>carlos gomez:</t>
        </r>
        <r>
          <rPr>
            <sz val="9"/>
            <color indexed="81"/>
            <rFont val="Tahoma"/>
            <charset val="1"/>
          </rPr>
          <t xml:space="preserve">
merluza apanada 10 kg
salmon trozo 2 kg
camaron 36 40 10kg
camaron naylon 1 kg</t>
        </r>
      </text>
    </comment>
    <comment ref="G40" authorId="0" shapeId="0" xr:uid="{816BF1BA-5899-463A-B63C-210E8C01E65B}">
      <text>
        <r>
          <rPr>
            <b/>
            <sz val="9"/>
            <color indexed="81"/>
            <rFont val="Tahoma"/>
            <charset val="1"/>
          </rPr>
          <t>carlos gomez:</t>
        </r>
        <r>
          <rPr>
            <sz val="9"/>
            <color indexed="81"/>
            <rFont val="Tahoma"/>
            <charset val="1"/>
          </rPr>
          <t xml:space="preserve">
transfiere a cuenta personal 140.000 para pago en vanni</t>
        </r>
      </text>
    </comment>
    <comment ref="G43" authorId="0" shapeId="0" xr:uid="{6CE5CA7E-A66F-45DD-AC78-93EB1B6DF9A2}">
      <text>
        <r>
          <rPr>
            <b/>
            <sz val="9"/>
            <color indexed="81"/>
            <rFont val="Tahoma"/>
            <charset val="1"/>
          </rPr>
          <t>carlos gomez:</t>
        </r>
        <r>
          <rPr>
            <sz val="9"/>
            <color indexed="81"/>
            <rFont val="Tahoma"/>
            <charset val="1"/>
          </rPr>
          <t xml:space="preserve">
tarnsfiere de mercado P. a cuenta personal para pago provimarket</t>
        </r>
      </text>
    </comment>
    <comment ref="F48" authorId="0" shapeId="0" xr:uid="{21A90919-6802-4E03-8C21-6D0F365C15BB}">
      <text>
        <r>
          <rPr>
            <b/>
            <sz val="9"/>
            <color indexed="81"/>
            <rFont val="Tahoma"/>
            <charset val="1"/>
          </rPr>
          <t>carlos gomez:</t>
        </r>
        <r>
          <rPr>
            <sz val="9"/>
            <color indexed="81"/>
            <rFont val="Tahoma"/>
            <charset val="1"/>
          </rPr>
          <t xml:space="preserve">
anticipo pago factura entrega factura y se paga el saldo  40.000</t>
        </r>
      </text>
    </comment>
    <comment ref="A56" authorId="0" shapeId="0" xr:uid="{07209184-7654-4188-B073-74DCB9FEA741}">
      <text>
        <r>
          <rPr>
            <b/>
            <sz val="9"/>
            <color indexed="81"/>
            <rFont val="Tahoma"/>
            <family val="2"/>
          </rPr>
          <t>carlos gomez:</t>
        </r>
        <r>
          <rPr>
            <sz val="9"/>
            <color indexed="81"/>
            <rFont val="Tahoma"/>
            <family val="2"/>
          </rPr>
          <t xml:space="preserve">
cuenta BCI bloqueada
se hace pago con cuenta personal</t>
        </r>
      </text>
    </comment>
    <comment ref="A66" authorId="0" shapeId="0" xr:uid="{0A18ECE3-D485-4BE5-8EE7-75AB27AFBFB8}">
      <text>
        <r>
          <rPr>
            <b/>
            <sz val="9"/>
            <color indexed="81"/>
            <rFont val="Tahoma"/>
            <family val="2"/>
          </rPr>
          <t>carlos gomez:</t>
        </r>
        <r>
          <rPr>
            <sz val="9"/>
            <color indexed="81"/>
            <rFont val="Tahoma"/>
            <family val="2"/>
          </rPr>
          <t xml:space="preserve">
compra andres y se transfiere desde MP</t>
        </r>
      </text>
    </comment>
    <comment ref="A69" authorId="0" shapeId="0" xr:uid="{9E55DA1F-002E-464C-8F78-8F183C3422B2}">
      <text>
        <r>
          <rPr>
            <b/>
            <sz val="9"/>
            <color indexed="81"/>
            <rFont val="Tahoma"/>
            <family val="2"/>
          </rPr>
          <t>carlos gomez:</t>
        </r>
        <r>
          <rPr>
            <sz val="9"/>
            <color indexed="81"/>
            <rFont val="Tahoma"/>
            <family val="2"/>
          </rPr>
          <t xml:space="preserve">
se realiza compra por carlos gomez conductor</t>
        </r>
      </text>
    </comment>
    <comment ref="H70" authorId="0" shapeId="0" xr:uid="{53C3784B-B87E-45F8-85C3-E09901CA069A}">
      <text>
        <r>
          <rPr>
            <b/>
            <sz val="9"/>
            <color indexed="81"/>
            <rFont val="Tahoma"/>
            <charset val="1"/>
          </rPr>
          <t>carlos gomez:</t>
        </r>
        <r>
          <rPr>
            <sz val="9"/>
            <color indexed="81"/>
            <rFont val="Tahoma"/>
            <charset val="1"/>
          </rPr>
          <t xml:space="preserve">
factura con fecha 23-02-2026</t>
        </r>
      </text>
    </comment>
    <comment ref="G83" authorId="0" shapeId="0" xr:uid="{47ACE1F7-2DDB-493E-9FCD-CDAC83BDF269}">
      <text>
        <r>
          <rPr>
            <b/>
            <sz val="9"/>
            <color indexed="81"/>
            <rFont val="Tahoma"/>
            <charset val="1"/>
          </rPr>
          <t>carlos gomez:</t>
        </r>
        <r>
          <rPr>
            <sz val="9"/>
            <color indexed="81"/>
            <rFont val="Tahoma"/>
            <charset val="1"/>
          </rPr>
          <t xml:space="preserve">
se hace pago de 79,000
no corresponde el pago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carlos gomez</author>
  </authors>
  <commentList>
    <comment ref="C30" authorId="0" shapeId="0" xr:uid="{0310D95E-5F46-4C45-92AD-23937456FB00}">
      <text>
        <r>
          <rPr>
            <b/>
            <sz val="9"/>
            <color indexed="81"/>
            <rFont val="Tahoma"/>
            <charset val="1"/>
          </rPr>
          <t>carlos gomez:</t>
        </r>
        <r>
          <rPr>
            <sz val="9"/>
            <color indexed="81"/>
            <rFont val="Tahoma"/>
            <charset val="1"/>
          </rPr>
          <t xml:space="preserve">
merluza apanada 10 kg
salmon trozo 2 kg
camaron 36 40 10kg
camaron naylon 1 kg</t>
        </r>
      </text>
    </comment>
    <comment ref="C32" authorId="0" shapeId="0" xr:uid="{8F56E96F-D099-45DB-AACC-4DF45464B97A}">
      <text>
        <r>
          <rPr>
            <b/>
            <sz val="9"/>
            <color indexed="81"/>
            <rFont val="Tahoma"/>
            <charset val="1"/>
          </rPr>
          <t>carlos gomez:</t>
        </r>
        <r>
          <rPr>
            <sz val="9"/>
            <color indexed="81"/>
            <rFont val="Tahoma"/>
            <charset val="1"/>
          </rPr>
          <t xml:space="preserve">
transfiere a cuenta personal 140.000 para pago en vanni</t>
        </r>
      </text>
    </comment>
    <comment ref="C35" authorId="0" shapeId="0" xr:uid="{982E36DD-0B36-40FC-A6B7-759ED446603B}">
      <text>
        <r>
          <rPr>
            <b/>
            <sz val="9"/>
            <color indexed="81"/>
            <rFont val="Tahoma"/>
            <charset val="1"/>
          </rPr>
          <t>carlos gomez:</t>
        </r>
        <r>
          <rPr>
            <sz val="9"/>
            <color indexed="81"/>
            <rFont val="Tahoma"/>
            <charset val="1"/>
          </rPr>
          <t xml:space="preserve">
tarnsfiere de mercado P. a cuenta personal para pago provimarket</t>
        </r>
      </text>
    </comment>
    <comment ref="B40" authorId="0" shapeId="0" xr:uid="{9AACFDD0-6FD9-4CA7-BBA4-54C7C1BC8DAC}">
      <text>
        <r>
          <rPr>
            <b/>
            <sz val="9"/>
            <color indexed="81"/>
            <rFont val="Tahoma"/>
            <charset val="1"/>
          </rPr>
          <t>carlos gomez:</t>
        </r>
        <r>
          <rPr>
            <sz val="9"/>
            <color indexed="81"/>
            <rFont val="Tahoma"/>
            <charset val="1"/>
          </rPr>
          <t xml:space="preserve">
anticipo pago factura entrega factura y se paga el saldo  40.000</t>
        </r>
      </text>
    </comment>
    <comment ref="D62" authorId="0" shapeId="0" xr:uid="{C7621C06-8A2A-43C9-A767-528D98964BCD}">
      <text>
        <r>
          <rPr>
            <b/>
            <sz val="9"/>
            <color indexed="81"/>
            <rFont val="Tahoma"/>
            <charset val="1"/>
          </rPr>
          <t>carlos gomez:</t>
        </r>
        <r>
          <rPr>
            <sz val="9"/>
            <color indexed="81"/>
            <rFont val="Tahoma"/>
            <charset val="1"/>
          </rPr>
          <t xml:space="preserve">
factura con fecha 23-02-2026</t>
        </r>
      </text>
    </comment>
    <comment ref="C75" authorId="0" shapeId="0" xr:uid="{C3E06D59-495F-4763-B94F-01EAA22B64BC}">
      <text>
        <r>
          <rPr>
            <b/>
            <sz val="9"/>
            <color indexed="81"/>
            <rFont val="Tahoma"/>
            <charset val="1"/>
          </rPr>
          <t>carlos gomez:</t>
        </r>
        <r>
          <rPr>
            <sz val="9"/>
            <color indexed="81"/>
            <rFont val="Tahoma"/>
            <charset val="1"/>
          </rPr>
          <t xml:space="preserve">
se hace pago de 79,000
no corresponde el pago</t>
        </r>
      </text>
    </comment>
  </commentList>
</comments>
</file>

<file path=xl/sharedStrings.xml><?xml version="1.0" encoding="utf-8"?>
<sst xmlns="http://schemas.openxmlformats.org/spreadsheetml/2006/main" count="235" uniqueCount="130">
  <si>
    <t xml:space="preserve">Rendicion de compras FEBRERO  </t>
  </si>
  <si>
    <t xml:space="preserve">Rendicion de compras  ENERO  2026 </t>
  </si>
  <si>
    <t>Documento de compra</t>
  </si>
  <si>
    <t>S/B</t>
  </si>
  <si>
    <t>BOLETA</t>
  </si>
  <si>
    <t>FACTURA</t>
  </si>
  <si>
    <t>Fecha</t>
  </si>
  <si>
    <t>Monto</t>
  </si>
  <si>
    <t>descripcion compra</t>
  </si>
  <si>
    <t>modo de pago</t>
  </si>
  <si>
    <t>Efectivo</t>
  </si>
  <si>
    <t>xxxx</t>
  </si>
  <si>
    <t>Pimentones  2 mallasa de cebolla blanca  y 1 Morada</t>
  </si>
  <si>
    <t>choro  almeja  choro</t>
  </si>
  <si>
    <t>efec.de caja</t>
  </si>
  <si>
    <t>limones cilantro  pimentones  cebolla en feria</t>
  </si>
  <si>
    <t>efec</t>
  </si>
  <si>
    <t>pepinillos</t>
  </si>
  <si>
    <t>comandas</t>
  </si>
  <si>
    <t>2 barbiquiu</t>
  </si>
  <si>
    <t>efect</t>
  </si>
  <si>
    <t>mer pago</t>
  </si>
  <si>
    <t>2 lechugas  3 pepinos</t>
  </si>
  <si>
    <t>camarones pescado apañado salmon</t>
  </si>
  <si>
    <t>merluza apanada  salmon trozos camaron 36 40 desv  camaron nailon nac</t>
  </si>
  <si>
    <t>trans a C/peros</t>
  </si>
  <si>
    <t>insumos embalaje ventas</t>
  </si>
  <si>
    <t>din/caja</t>
  </si>
  <si>
    <t>Pimentones ajos</t>
  </si>
  <si>
    <t>Varios</t>
  </si>
  <si>
    <t>lechugas cilantros</t>
  </si>
  <si>
    <t>Pago perito contable</t>
  </si>
  <si>
    <t>queso</t>
  </si>
  <si>
    <t>pan</t>
  </si>
  <si>
    <t>estacionamiento</t>
  </si>
  <si>
    <t>efec personal</t>
  </si>
  <si>
    <t>2 balones de gas</t>
  </si>
  <si>
    <t>camarones</t>
  </si>
  <si>
    <t>gas 15kl</t>
  </si>
  <si>
    <t>provimarket</t>
  </si>
  <si>
    <t>cuen/personal</t>
  </si>
  <si>
    <t>come BIG</t>
  </si>
  <si>
    <t>abarrotes</t>
  </si>
  <si>
    <t xml:space="preserve">verduras </t>
  </si>
  <si>
    <t>empaques</t>
  </si>
  <si>
    <t xml:space="preserve">masas </t>
  </si>
  <si>
    <t>polvo royal 1kg</t>
  </si>
  <si>
    <t>combustible</t>
  </si>
  <si>
    <t>transferencia</t>
  </si>
  <si>
    <t>Alejandro Romo</t>
  </si>
  <si>
    <t>Andres</t>
  </si>
  <si>
    <t>Vanni empaques</t>
  </si>
  <si>
    <t>vienesas colaciones</t>
  </si>
  <si>
    <t>aseo bebidas ..</t>
  </si>
  <si>
    <t>parmesano</t>
  </si>
  <si>
    <t>surtido mariscos</t>
  </si>
  <si>
    <t>MARZO</t>
  </si>
  <si>
    <t>Abogado</t>
  </si>
  <si>
    <t>Mantencion camioneta</t>
  </si>
  <si>
    <t>extintor recarga</t>
  </si>
  <si>
    <t>deposito pago linea credito y credito</t>
  </si>
  <si>
    <t>????</t>
  </si>
  <si>
    <t>PAGO CREDITO</t>
  </si>
  <si>
    <t>?????</t>
  </si>
  <si>
    <t>TRANSFERENCIA ????</t>
  </si>
  <si>
    <t>German Antonio Mosqueira</t>
  </si>
  <si>
    <t>Jonatan Eduardo Leiva</t>
  </si>
  <si>
    <t>Eric Montalvo pan ultima semana de febrero</t>
  </si>
  <si>
    <t>verduras</t>
  </si>
  <si>
    <t>mer pago master</t>
  </si>
  <si>
    <t xml:space="preserve">mer pago     </t>
  </si>
  <si>
    <t>cecilia</t>
  </si>
  <si>
    <t>2 bandeja</t>
  </si>
  <si>
    <t>Samuel Rios</t>
  </si>
  <si>
    <t>abarrotes aseo</t>
  </si>
  <si>
    <t xml:space="preserve">mer pago   </t>
  </si>
  <si>
    <t>Ricardo Cristian Cox Montanares</t>
  </si>
  <si>
    <t>mariscos merluza camaron</t>
  </si>
  <si>
    <t>Norma Miranda Contadora</t>
  </si>
  <si>
    <t xml:space="preserve">Distribuidora Alfredo Rabanal </t>
  </si>
  <si>
    <t>Alexis Palta</t>
  </si>
  <si>
    <t>envases empaque</t>
  </si>
  <si>
    <t>efectivo Gloria</t>
  </si>
  <si>
    <t>corvina reineta salmon</t>
  </si>
  <si>
    <t>visa debito</t>
  </si>
  <si>
    <t>comer BIG</t>
  </si>
  <si>
    <t>mariscos merlusa</t>
  </si>
  <si>
    <t>alargador</t>
  </si>
  <si>
    <t>FEBRERO</t>
  </si>
  <si>
    <t>Vanni  empaques</t>
  </si>
  <si>
    <t xml:space="preserve">ceviche </t>
  </si>
  <si>
    <t>samuel rios</t>
  </si>
  <si>
    <t>repartidor vie 6 sab 7</t>
  </si>
  <si>
    <t>s. rios delivery  7.000</t>
  </si>
  <si>
    <t>jessica productos  mariscos</t>
  </si>
  <si>
    <t>imposiciones + fonasa Paula</t>
  </si>
  <si>
    <t>combustible camioneta</t>
  </si>
  <si>
    <t>tomate cilantro</t>
  </si>
  <si>
    <t>Aji no moto</t>
  </si>
  <si>
    <t>paltas lechuga</t>
  </si>
  <si>
    <t>delivery</t>
  </si>
  <si>
    <t>kiko queso</t>
  </si>
  <si>
    <t>jonatan pescado</t>
  </si>
  <si>
    <t>ricardo cox</t>
  </si>
  <si>
    <t>Pagp programa</t>
  </si>
  <si>
    <t>pan andres</t>
  </si>
  <si>
    <t>rio san pedro</t>
  </si>
  <si>
    <t>distri agro mar</t>
  </si>
  <si>
    <t>surt mariscos</t>
  </si>
  <si>
    <t xml:space="preserve">dist dical </t>
  </si>
  <si>
    <t>huevos</t>
  </si>
  <si>
    <t>vanni</t>
  </si>
  <si>
    <t>J C  Arancibia</t>
  </si>
  <si>
    <t>samuel Rios</t>
  </si>
  <si>
    <t>Andres quincena</t>
  </si>
  <si>
    <t>Yasna  Quincena</t>
  </si>
  <si>
    <t>Jorge Gonzales F</t>
  </si>
  <si>
    <t>pago arriendo</t>
  </si>
  <si>
    <t>fabricio Abogado</t>
  </si>
  <si>
    <t>dis alfre rabana</t>
  </si>
  <si>
    <t>royal</t>
  </si>
  <si>
    <t>deliveri</t>
  </si>
  <si>
    <t>multa sii</t>
  </si>
  <si>
    <t>keka abarrotes</t>
  </si>
  <si>
    <t>pago noemi 117.000 sueldo feb  mas 50.000 adelanto Marzo</t>
  </si>
  <si>
    <t>gas</t>
  </si>
  <si>
    <t>queso parmesano</t>
  </si>
  <si>
    <t>pago notificaciones</t>
  </si>
  <si>
    <t>jonatan leiva</t>
  </si>
  <si>
    <t>pescado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</si>
</sst>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5">
    <xf numFmtId="0" fontId="0" fillId="0" borderId="0" xfId="0"/>
    <xf numFmtId="14" fontId="0" fillId="0" borderId="0" xfId="0" applyNumberFormat="1"/>
    <xf numFmtId="41" fontId="0" fillId="0" borderId="0" xfId="1" applyFont="1"/>
    <xf numFmtId="14" fontId="4" fillId="0" borderId="0" xfId="0" applyNumberFormat="1" applyFont="1"/>
    <xf numFmtId="0" fontId="5" fillId="0" borderId="0" xfId="0" applyFont="1"/>
    <xf numFmtId="41" fontId="0" fillId="2" borderId="0" xfId="1" applyFont="1" applyFill="1"/>
    <xf numFmtId="0" fontId="0" fillId="2" borderId="0" xfId="0" applyFill="1"/>
    <xf numFmtId="41" fontId="0" fillId="3" borderId="0" xfId="1" applyFont="1" applyFill="1"/>
    <xf numFmtId="0" fontId="0" fillId="0" borderId="0" xfId="0" applyNumberFormat="1"/>
    <xf numFmtId="0" fontId="0" fillId="4" borderId="0" xfId="0" applyFill="1"/>
    <xf numFmtId="0" fontId="0" fillId="5" borderId="0" xfId="0" applyFill="1"/>
    <xf numFmtId="41" fontId="0" fillId="0" borderId="0" xfId="0" applyNumberFormat="1"/>
    <xf numFmtId="0" fontId="0" fillId="0" borderId="0" xfId="1" applyNumberFormat="1" applyFont="1"/>
    <xf numFmtId="41" fontId="0" fillId="6" borderId="0" xfId="1" applyFont="1" applyFill="1"/>
    <xf numFmtId="3" fontId="0" fillId="0" borderId="0" xfId="0" applyNumberFormat="1"/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B1866-6405-4B31-80AD-CCBB25565187}">
  <dimension ref="A1:Q143"/>
  <sheetViews>
    <sheetView tabSelected="1" workbookViewId="0">
      <pane ySplit="10" topLeftCell="A53" activePane="bottomLeft" state="frozen"/>
      <selection pane="bottomLeft" activeCell="P68" sqref="P68"/>
    </sheetView>
  </sheetViews>
  <sheetFormatPr baseColWidth="10" defaultRowHeight="14.4" x14ac:dyDescent="0.3"/>
  <cols>
    <col min="1" max="1" width="14.77734375" customWidth="1"/>
    <col min="2" max="2" width="5.21875" customWidth="1"/>
    <col min="3" max="3" width="10.109375" customWidth="1"/>
    <col min="4" max="4" width="9.109375" customWidth="1"/>
    <col min="5" max="5" width="8.6640625" customWidth="1"/>
    <col min="6" max="6" width="10.88671875" customWidth="1"/>
    <col min="7" max="7" width="12" customWidth="1"/>
  </cols>
  <sheetData>
    <row r="1" spans="1:17" x14ac:dyDescent="0.3">
      <c r="A1" t="s">
        <v>1</v>
      </c>
    </row>
    <row r="5" spans="1:17" x14ac:dyDescent="0.3">
      <c r="A5" t="s">
        <v>0</v>
      </c>
    </row>
    <row r="8" spans="1:17" x14ac:dyDescent="0.3">
      <c r="A8" t="s">
        <v>2</v>
      </c>
    </row>
    <row r="10" spans="1:17" x14ac:dyDescent="0.3">
      <c r="A10" t="s">
        <v>9</v>
      </c>
      <c r="B10" t="s">
        <v>3</v>
      </c>
      <c r="C10" t="s">
        <v>7</v>
      </c>
      <c r="D10" t="s">
        <v>4</v>
      </c>
      <c r="E10" s="2" t="s">
        <v>7</v>
      </c>
      <c r="F10" t="s">
        <v>5</v>
      </c>
      <c r="G10" t="s">
        <v>7</v>
      </c>
      <c r="H10" t="s">
        <v>6</v>
      </c>
      <c r="I10" t="s">
        <v>8</v>
      </c>
    </row>
    <row r="11" spans="1:17" x14ac:dyDescent="0.3">
      <c r="E11" s="2"/>
      <c r="K11" s="8"/>
    </row>
    <row r="12" spans="1:17" x14ac:dyDescent="0.3">
      <c r="A12" s="4" t="s">
        <v>88</v>
      </c>
      <c r="E12" s="2"/>
      <c r="Q12" s="12"/>
    </row>
    <row r="13" spans="1:17" x14ac:dyDescent="0.3">
      <c r="E13" s="2"/>
      <c r="Q13" s="2"/>
    </row>
    <row r="14" spans="1:17" x14ac:dyDescent="0.3">
      <c r="E14" s="2"/>
      <c r="Q14" s="2"/>
    </row>
    <row r="15" spans="1:17" x14ac:dyDescent="0.3">
      <c r="E15" s="2"/>
      <c r="H15" s="1"/>
      <c r="I15" s="6"/>
      <c r="Q15" s="2"/>
    </row>
    <row r="16" spans="1:17" x14ac:dyDescent="0.3">
      <c r="E16" s="2"/>
      <c r="F16">
        <v>446</v>
      </c>
      <c r="G16" s="14">
        <v>85002</v>
      </c>
      <c r="H16" s="1">
        <v>46060</v>
      </c>
      <c r="Q16" s="2"/>
    </row>
    <row r="17" spans="1:17" x14ac:dyDescent="0.3">
      <c r="E17" s="2"/>
      <c r="F17">
        <v>6590</v>
      </c>
      <c r="G17">
        <v>20474</v>
      </c>
      <c r="H17" s="1">
        <v>46062</v>
      </c>
      <c r="Q17" s="2"/>
    </row>
    <row r="18" spans="1:17" x14ac:dyDescent="0.3">
      <c r="E18" s="2"/>
      <c r="G18" s="2"/>
      <c r="Q18" s="2"/>
    </row>
    <row r="19" spans="1:17" x14ac:dyDescent="0.3">
      <c r="E19" s="2"/>
      <c r="F19" s="6">
        <v>8463</v>
      </c>
      <c r="G19" s="2">
        <v>165028</v>
      </c>
      <c r="H19" s="1">
        <v>46065</v>
      </c>
      <c r="I19" t="s">
        <v>101</v>
      </c>
      <c r="Q19" s="2"/>
    </row>
    <row r="20" spans="1:17" x14ac:dyDescent="0.3">
      <c r="E20" s="2"/>
      <c r="F20" s="6">
        <v>12480</v>
      </c>
      <c r="G20" s="2">
        <v>50006</v>
      </c>
      <c r="H20" s="1">
        <v>46065</v>
      </c>
      <c r="I20" t="s">
        <v>86</v>
      </c>
      <c r="Q20" s="2"/>
    </row>
    <row r="21" spans="1:17" x14ac:dyDescent="0.3">
      <c r="D21" s="6">
        <v>15281</v>
      </c>
      <c r="E21" s="7">
        <v>11700</v>
      </c>
      <c r="G21" s="2"/>
      <c r="H21" s="1">
        <v>46065</v>
      </c>
      <c r="Q21" s="2"/>
    </row>
    <row r="22" spans="1:17" x14ac:dyDescent="0.3">
      <c r="E22" s="2"/>
      <c r="F22" s="6">
        <v>635268</v>
      </c>
      <c r="G22" s="13">
        <v>3486</v>
      </c>
      <c r="H22" s="1">
        <v>46065</v>
      </c>
      <c r="I22" t="s">
        <v>39</v>
      </c>
      <c r="Q22" s="2"/>
    </row>
    <row r="23" spans="1:17" x14ac:dyDescent="0.3">
      <c r="E23" s="2"/>
      <c r="F23" s="6">
        <v>635267</v>
      </c>
      <c r="G23" s="2">
        <v>86558</v>
      </c>
      <c r="H23" s="1">
        <v>46065</v>
      </c>
      <c r="I23" t="s">
        <v>42</v>
      </c>
      <c r="Q23" s="2"/>
    </row>
    <row r="24" spans="1:17" x14ac:dyDescent="0.3">
      <c r="E24" s="2"/>
      <c r="F24" s="6">
        <v>115485</v>
      </c>
      <c r="G24" s="2">
        <v>81717</v>
      </c>
      <c r="H24" s="1">
        <v>46065</v>
      </c>
      <c r="I24" t="s">
        <v>85</v>
      </c>
      <c r="Q24" s="2"/>
    </row>
    <row r="25" spans="1:17" x14ac:dyDescent="0.3">
      <c r="C25" s="2"/>
      <c r="E25" s="2"/>
      <c r="F25" s="6">
        <v>115510</v>
      </c>
      <c r="G25" s="2">
        <v>89940</v>
      </c>
      <c r="H25" s="1">
        <v>46065</v>
      </c>
      <c r="I25" t="s">
        <v>85</v>
      </c>
      <c r="J25" t="s">
        <v>42</v>
      </c>
      <c r="Q25" s="2"/>
    </row>
    <row r="26" spans="1:17" x14ac:dyDescent="0.3">
      <c r="A26" t="s">
        <v>10</v>
      </c>
      <c r="B26" t="s">
        <v>11</v>
      </c>
      <c r="C26" s="2">
        <v>29000</v>
      </c>
      <c r="E26" s="2"/>
      <c r="G26" s="2"/>
      <c r="H26" s="1">
        <v>46065</v>
      </c>
      <c r="I26" t="s">
        <v>12</v>
      </c>
      <c r="Q26" s="2"/>
    </row>
    <row r="27" spans="1:17" x14ac:dyDescent="0.3">
      <c r="A27" t="s">
        <v>10</v>
      </c>
      <c r="B27" t="s">
        <v>11</v>
      </c>
      <c r="C27" s="2">
        <v>25000</v>
      </c>
      <c r="E27" s="2"/>
      <c r="G27" s="2"/>
      <c r="H27" s="1">
        <v>46065</v>
      </c>
      <c r="I27" t="s">
        <v>13</v>
      </c>
      <c r="Q27" s="2"/>
    </row>
    <row r="28" spans="1:17" x14ac:dyDescent="0.3">
      <c r="A28" t="s">
        <v>14</v>
      </c>
      <c r="B28" t="s">
        <v>11</v>
      </c>
      <c r="C28" s="2">
        <v>42000</v>
      </c>
      <c r="E28" s="2"/>
      <c r="G28" s="2"/>
      <c r="H28" s="1">
        <v>46065</v>
      </c>
      <c r="I28" t="s">
        <v>15</v>
      </c>
      <c r="Q28" s="2"/>
    </row>
    <row r="29" spans="1:17" x14ac:dyDescent="0.3">
      <c r="C29" s="2"/>
      <c r="E29" s="2"/>
      <c r="F29" s="6">
        <v>8463</v>
      </c>
      <c r="G29" s="2">
        <v>165028</v>
      </c>
      <c r="H29" s="1">
        <v>46065</v>
      </c>
      <c r="I29" t="s">
        <v>101</v>
      </c>
      <c r="Q29" s="2"/>
    </row>
    <row r="30" spans="1:17" x14ac:dyDescent="0.3">
      <c r="A30" t="s">
        <v>16</v>
      </c>
      <c r="B30" t="s">
        <v>11</v>
      </c>
      <c r="C30" s="2">
        <v>3000</v>
      </c>
      <c r="E30" s="2"/>
      <c r="G30" s="2"/>
      <c r="H30" s="1">
        <v>46066</v>
      </c>
      <c r="I30" t="s">
        <v>17</v>
      </c>
      <c r="Q30" s="2"/>
    </row>
    <row r="31" spans="1:17" x14ac:dyDescent="0.3">
      <c r="A31" t="s">
        <v>16</v>
      </c>
      <c r="B31" t="s">
        <v>11</v>
      </c>
      <c r="C31" s="2">
        <v>20000</v>
      </c>
      <c r="E31" s="2"/>
      <c r="G31" s="2"/>
      <c r="H31" s="1">
        <v>46066</v>
      </c>
      <c r="I31" t="s">
        <v>18</v>
      </c>
      <c r="Q31" s="2"/>
    </row>
    <row r="32" spans="1:17" x14ac:dyDescent="0.3">
      <c r="C32" s="2"/>
      <c r="E32" s="2"/>
      <c r="F32" s="6"/>
      <c r="G32" s="13"/>
      <c r="H32" s="1"/>
      <c r="Q32" s="2"/>
    </row>
    <row r="33" spans="1:17" x14ac:dyDescent="0.3">
      <c r="C33" s="2"/>
      <c r="E33" s="2"/>
      <c r="F33">
        <v>2573</v>
      </c>
      <c r="G33" s="2">
        <v>18004</v>
      </c>
      <c r="H33" s="1">
        <v>46066</v>
      </c>
      <c r="I33" t="s">
        <v>19</v>
      </c>
      <c r="Q33" s="2"/>
    </row>
    <row r="34" spans="1:17" x14ac:dyDescent="0.3">
      <c r="C34" s="2"/>
      <c r="D34" s="5">
        <v>100650</v>
      </c>
      <c r="E34" s="2">
        <v>5800</v>
      </c>
      <c r="G34" s="2"/>
      <c r="Q34" s="2"/>
    </row>
    <row r="35" spans="1:17" x14ac:dyDescent="0.3">
      <c r="A35" t="s">
        <v>20</v>
      </c>
      <c r="C35" s="2"/>
      <c r="D35">
        <v>69507</v>
      </c>
      <c r="E35" s="2">
        <v>5000</v>
      </c>
      <c r="G35" s="2"/>
      <c r="H35" s="1">
        <v>46066</v>
      </c>
      <c r="Q35" s="2"/>
    </row>
    <row r="36" spans="1:17" x14ac:dyDescent="0.3">
      <c r="A36" t="s">
        <v>20</v>
      </c>
      <c r="B36" t="s">
        <v>11</v>
      </c>
      <c r="C36" s="2">
        <v>3000</v>
      </c>
      <c r="E36" s="2"/>
      <c r="G36" s="2"/>
      <c r="H36" s="1">
        <v>46066</v>
      </c>
      <c r="I36" t="s">
        <v>22</v>
      </c>
      <c r="Q36" s="2"/>
    </row>
    <row r="37" spans="1:17" x14ac:dyDescent="0.3">
      <c r="A37" t="s">
        <v>21</v>
      </c>
      <c r="C37" s="2">
        <v>71500</v>
      </c>
      <c r="E37" s="2"/>
      <c r="G37" s="2"/>
      <c r="H37" s="1">
        <v>46066</v>
      </c>
      <c r="I37" t="s">
        <v>23</v>
      </c>
      <c r="L37" t="s">
        <v>106</v>
      </c>
      <c r="Q37" s="2"/>
    </row>
    <row r="38" spans="1:17" x14ac:dyDescent="0.3">
      <c r="C38" s="2"/>
      <c r="E38" s="2"/>
      <c r="F38">
        <v>12495</v>
      </c>
      <c r="G38" s="2">
        <v>202500</v>
      </c>
      <c r="H38" s="1">
        <v>46066</v>
      </c>
      <c r="I38" t="s">
        <v>24</v>
      </c>
      <c r="Q38" s="2"/>
    </row>
    <row r="39" spans="1:17" x14ac:dyDescent="0.3">
      <c r="C39" s="2"/>
      <c r="E39" s="2"/>
      <c r="G39" s="2"/>
      <c r="H39" s="1"/>
      <c r="Q39" s="2"/>
    </row>
    <row r="40" spans="1:17" x14ac:dyDescent="0.3">
      <c r="A40" t="s">
        <v>25</v>
      </c>
      <c r="C40" s="2"/>
      <c r="E40" s="2"/>
      <c r="F40">
        <v>6226317</v>
      </c>
      <c r="G40" s="2">
        <v>139404</v>
      </c>
      <c r="H40" s="1">
        <v>46067</v>
      </c>
      <c r="I40" t="s">
        <v>26</v>
      </c>
      <c r="O40" s="2"/>
      <c r="Q40" s="2"/>
    </row>
    <row r="41" spans="1:17" x14ac:dyDescent="0.3">
      <c r="A41" t="s">
        <v>27</v>
      </c>
      <c r="B41" t="s">
        <v>11</v>
      </c>
      <c r="C41" s="2">
        <v>5000</v>
      </c>
      <c r="E41" s="2"/>
      <c r="G41" s="2"/>
      <c r="H41" s="1">
        <v>46067</v>
      </c>
      <c r="I41" t="s">
        <v>28</v>
      </c>
      <c r="O41" s="2"/>
      <c r="Q41" s="2"/>
    </row>
    <row r="42" spans="1:17" x14ac:dyDescent="0.3">
      <c r="C42" s="2"/>
      <c r="E42" s="2"/>
      <c r="F42" s="6">
        <v>16246</v>
      </c>
      <c r="G42" s="13">
        <v>2562189</v>
      </c>
      <c r="H42" s="1">
        <v>46067</v>
      </c>
      <c r="I42" t="s">
        <v>83</v>
      </c>
      <c r="Q42" s="2"/>
    </row>
    <row r="43" spans="1:17" x14ac:dyDescent="0.3">
      <c r="A43" t="s">
        <v>25</v>
      </c>
      <c r="C43" s="2"/>
      <c r="E43" s="2"/>
      <c r="F43">
        <v>646705</v>
      </c>
      <c r="G43" s="2">
        <v>121180</v>
      </c>
      <c r="H43" s="1">
        <v>46067</v>
      </c>
      <c r="I43" t="s">
        <v>29</v>
      </c>
      <c r="Q43" s="2"/>
    </row>
    <row r="44" spans="1:17" x14ac:dyDescent="0.3">
      <c r="A44" s="2" t="s">
        <v>27</v>
      </c>
      <c r="B44" t="s">
        <v>11</v>
      </c>
      <c r="C44" s="2">
        <v>9000</v>
      </c>
      <c r="E44" s="2"/>
      <c r="G44" s="2"/>
      <c r="H44" s="1">
        <v>46067</v>
      </c>
      <c r="I44" t="s">
        <v>30</v>
      </c>
      <c r="Q44" s="2"/>
    </row>
    <row r="45" spans="1:17" x14ac:dyDescent="0.3">
      <c r="A45" t="s">
        <v>21</v>
      </c>
      <c r="C45" s="2">
        <v>800000</v>
      </c>
      <c r="E45" s="2"/>
      <c r="G45" s="2"/>
      <c r="H45" s="1">
        <v>46069</v>
      </c>
      <c r="I45" t="s">
        <v>31</v>
      </c>
      <c r="Q45" s="2"/>
    </row>
    <row r="46" spans="1:17" x14ac:dyDescent="0.3">
      <c r="C46" s="2"/>
      <c r="E46" s="2"/>
      <c r="G46" s="2"/>
      <c r="H46" s="1"/>
      <c r="Q46" s="2"/>
    </row>
    <row r="47" spans="1:17" x14ac:dyDescent="0.3">
      <c r="A47" t="s">
        <v>21</v>
      </c>
      <c r="C47" s="2"/>
      <c r="E47" s="2"/>
      <c r="F47" s="6">
        <v>8476</v>
      </c>
      <c r="G47" s="13">
        <v>125700</v>
      </c>
      <c r="H47" s="1">
        <v>46069</v>
      </c>
      <c r="I47" t="s">
        <v>32</v>
      </c>
      <c r="Q47" s="2"/>
    </row>
    <row r="48" spans="1:17" x14ac:dyDescent="0.3">
      <c r="A48" t="s">
        <v>21</v>
      </c>
      <c r="C48" s="2"/>
      <c r="E48" s="2"/>
      <c r="F48">
        <v>88</v>
      </c>
      <c r="G48" s="13">
        <v>20000</v>
      </c>
      <c r="H48" s="1">
        <v>46069</v>
      </c>
      <c r="I48" t="s">
        <v>80</v>
      </c>
      <c r="Q48" s="2"/>
    </row>
    <row r="49" spans="1:17" x14ac:dyDescent="0.3">
      <c r="C49" s="2"/>
      <c r="E49" s="2"/>
      <c r="G49" s="2"/>
      <c r="H49" s="1"/>
      <c r="Q49" s="2"/>
    </row>
    <row r="50" spans="1:17" x14ac:dyDescent="0.3">
      <c r="A50" t="s">
        <v>35</v>
      </c>
      <c r="C50" s="2"/>
      <c r="E50" s="2">
        <v>660</v>
      </c>
      <c r="G50" s="2"/>
      <c r="H50" s="1">
        <v>46071</v>
      </c>
      <c r="I50" t="s">
        <v>34</v>
      </c>
      <c r="Q50" s="2"/>
    </row>
    <row r="51" spans="1:17" x14ac:dyDescent="0.3">
      <c r="A51" t="s">
        <v>21</v>
      </c>
      <c r="C51" s="2"/>
      <c r="E51" s="2"/>
      <c r="G51" s="13">
        <v>99240</v>
      </c>
      <c r="H51" s="1">
        <v>46071</v>
      </c>
      <c r="I51" t="s">
        <v>36</v>
      </c>
      <c r="Q51" s="2"/>
    </row>
    <row r="52" spans="1:17" x14ac:dyDescent="0.3">
      <c r="C52" s="2"/>
      <c r="E52" s="2"/>
      <c r="G52" s="2"/>
      <c r="H52" s="1"/>
      <c r="Q52" s="2"/>
    </row>
    <row r="53" spans="1:17" x14ac:dyDescent="0.3">
      <c r="A53" t="s">
        <v>21</v>
      </c>
      <c r="C53" s="2">
        <v>42000</v>
      </c>
      <c r="E53" s="2"/>
      <c r="G53" s="2"/>
      <c r="H53" s="1">
        <v>46072</v>
      </c>
      <c r="I53" t="s">
        <v>108</v>
      </c>
      <c r="J53" t="s">
        <v>106</v>
      </c>
      <c r="Q53" s="2"/>
    </row>
    <row r="54" spans="1:17" x14ac:dyDescent="0.3">
      <c r="A54" t="s">
        <v>21</v>
      </c>
      <c r="C54" s="2"/>
      <c r="E54" s="2"/>
      <c r="F54">
        <v>23688</v>
      </c>
      <c r="G54" s="2">
        <v>80000</v>
      </c>
      <c r="H54" s="1">
        <v>46072</v>
      </c>
      <c r="I54" t="s">
        <v>37</v>
      </c>
      <c r="J54" t="s">
        <v>107</v>
      </c>
      <c r="O54" s="11"/>
      <c r="Q54" s="2"/>
    </row>
    <row r="55" spans="1:17" x14ac:dyDescent="0.3">
      <c r="C55" s="2"/>
      <c r="E55" s="2"/>
      <c r="F55">
        <v>6590</v>
      </c>
      <c r="G55" s="2">
        <v>20474</v>
      </c>
      <c r="H55" s="3">
        <v>46062</v>
      </c>
      <c r="I55" t="s">
        <v>38</v>
      </c>
      <c r="Q55" s="2"/>
    </row>
    <row r="56" spans="1:17" x14ac:dyDescent="0.3">
      <c r="A56" t="s">
        <v>40</v>
      </c>
      <c r="C56" s="2"/>
      <c r="E56" s="2"/>
      <c r="F56" s="6">
        <v>646731</v>
      </c>
      <c r="G56" s="2">
        <v>7590</v>
      </c>
      <c r="H56" s="1">
        <v>46072</v>
      </c>
      <c r="I56" t="s">
        <v>39</v>
      </c>
      <c r="Q56" s="2"/>
    </row>
    <row r="57" spans="1:17" x14ac:dyDescent="0.3">
      <c r="A57" t="s">
        <v>21</v>
      </c>
      <c r="C57" s="2"/>
      <c r="E57" s="2"/>
      <c r="F57" s="6">
        <v>115694</v>
      </c>
      <c r="G57" s="2">
        <v>163100</v>
      </c>
      <c r="H57" s="1">
        <v>46072</v>
      </c>
      <c r="I57" t="s">
        <v>41</v>
      </c>
      <c r="Q57" s="2"/>
    </row>
    <row r="58" spans="1:17" x14ac:dyDescent="0.3">
      <c r="C58" s="2"/>
      <c r="E58" s="2"/>
      <c r="F58">
        <v>341</v>
      </c>
      <c r="G58" s="2">
        <v>341585</v>
      </c>
      <c r="H58" s="1">
        <v>46072</v>
      </c>
      <c r="I58" t="s">
        <v>42</v>
      </c>
      <c r="Q58" s="2"/>
    </row>
    <row r="59" spans="1:17" x14ac:dyDescent="0.3">
      <c r="C59" s="2"/>
      <c r="E59" s="2"/>
      <c r="G59" s="2"/>
      <c r="H59" s="1"/>
      <c r="Q59" s="2"/>
    </row>
    <row r="60" spans="1:17" x14ac:dyDescent="0.3">
      <c r="C60" s="2"/>
      <c r="E60" s="2"/>
      <c r="F60" s="6"/>
      <c r="G60" s="2"/>
      <c r="H60" s="1"/>
      <c r="Q60" s="2"/>
    </row>
    <row r="61" spans="1:17" x14ac:dyDescent="0.3">
      <c r="A61" t="s">
        <v>21</v>
      </c>
      <c r="C61" s="2"/>
      <c r="E61" s="2"/>
      <c r="F61">
        <v>6253533</v>
      </c>
      <c r="G61" s="2">
        <v>134497</v>
      </c>
      <c r="H61" s="1">
        <v>46073</v>
      </c>
      <c r="I61" t="s">
        <v>44</v>
      </c>
      <c r="Q61" s="2"/>
    </row>
    <row r="62" spans="1:17" x14ac:dyDescent="0.3">
      <c r="C62" s="2"/>
      <c r="E62" s="2"/>
      <c r="F62" s="6">
        <v>8482</v>
      </c>
      <c r="G62" s="2">
        <v>145649</v>
      </c>
      <c r="H62" s="1">
        <v>46074</v>
      </c>
      <c r="I62" t="s">
        <v>101</v>
      </c>
      <c r="Q62" s="2"/>
    </row>
    <row r="63" spans="1:17" x14ac:dyDescent="0.3">
      <c r="A63" t="s">
        <v>21</v>
      </c>
      <c r="C63" s="2"/>
      <c r="E63" s="2"/>
      <c r="F63" s="6">
        <v>472</v>
      </c>
      <c r="G63" s="2">
        <v>63752</v>
      </c>
      <c r="H63" s="1">
        <v>46074</v>
      </c>
      <c r="I63" t="s">
        <v>45</v>
      </c>
      <c r="Q63" s="2"/>
    </row>
    <row r="64" spans="1:17" x14ac:dyDescent="0.3">
      <c r="C64" s="2"/>
      <c r="E64" s="2"/>
      <c r="G64" s="2"/>
      <c r="H64" s="1"/>
      <c r="Q64" s="2"/>
    </row>
    <row r="65" spans="1:17" x14ac:dyDescent="0.3">
      <c r="A65" t="s">
        <v>21</v>
      </c>
      <c r="C65" s="2"/>
      <c r="E65" s="2"/>
      <c r="F65" s="6">
        <v>646740</v>
      </c>
      <c r="G65" s="2">
        <v>39737</v>
      </c>
      <c r="H65" s="1">
        <v>46074</v>
      </c>
      <c r="I65" t="s">
        <v>39</v>
      </c>
      <c r="Q65" s="2"/>
    </row>
    <row r="66" spans="1:17" x14ac:dyDescent="0.3">
      <c r="A66" t="s">
        <v>84</v>
      </c>
      <c r="C66" s="2"/>
      <c r="D66" s="6">
        <v>18988301</v>
      </c>
      <c r="E66" s="2">
        <v>5722</v>
      </c>
      <c r="G66" s="2"/>
      <c r="H66" s="1">
        <v>46074</v>
      </c>
      <c r="I66" t="s">
        <v>39</v>
      </c>
      <c r="Q66" s="2"/>
    </row>
    <row r="67" spans="1:17" x14ac:dyDescent="0.3">
      <c r="C67" s="2"/>
      <c r="E67" s="2"/>
      <c r="G67" s="2"/>
      <c r="Q67" s="2"/>
    </row>
    <row r="68" spans="1:17" x14ac:dyDescent="0.3">
      <c r="C68" s="2"/>
      <c r="E68" s="2"/>
      <c r="F68">
        <v>948</v>
      </c>
      <c r="G68" s="13">
        <v>17160</v>
      </c>
      <c r="H68" s="1">
        <v>46072</v>
      </c>
      <c r="I68" t="s">
        <v>46</v>
      </c>
      <c r="Q68" s="2"/>
    </row>
    <row r="69" spans="1:17" x14ac:dyDescent="0.3">
      <c r="A69" t="s">
        <v>48</v>
      </c>
      <c r="C69" s="2"/>
      <c r="E69" s="2">
        <v>58454</v>
      </c>
      <c r="G69" s="2"/>
      <c r="H69" s="1">
        <v>46061</v>
      </c>
      <c r="I69" t="s">
        <v>47</v>
      </c>
      <c r="Q69" s="2"/>
    </row>
    <row r="70" spans="1:17" x14ac:dyDescent="0.3">
      <c r="C70" s="2"/>
      <c r="E70" s="2"/>
      <c r="F70" s="10">
        <v>8013</v>
      </c>
      <c r="G70" s="13">
        <v>32130</v>
      </c>
      <c r="H70" s="1">
        <v>46083</v>
      </c>
      <c r="I70" t="s">
        <v>59</v>
      </c>
      <c r="Q70" s="2"/>
    </row>
    <row r="71" spans="1:17" x14ac:dyDescent="0.3">
      <c r="C71" s="2"/>
      <c r="E71" s="2"/>
      <c r="G71" s="2"/>
      <c r="H71" s="1"/>
      <c r="Q71" s="2"/>
    </row>
    <row r="72" spans="1:17" x14ac:dyDescent="0.3">
      <c r="A72" t="s">
        <v>21</v>
      </c>
      <c r="C72" s="2">
        <v>45000</v>
      </c>
      <c r="E72" s="2"/>
      <c r="G72" s="2"/>
      <c r="H72" s="1">
        <v>46078</v>
      </c>
      <c r="I72" t="s">
        <v>49</v>
      </c>
      <c r="K72" t="s">
        <v>104</v>
      </c>
      <c r="Q72" s="2"/>
    </row>
    <row r="73" spans="1:17" x14ac:dyDescent="0.3">
      <c r="A73" t="s">
        <v>21</v>
      </c>
      <c r="C73" s="2">
        <v>11420</v>
      </c>
      <c r="E73" s="2"/>
      <c r="G73" s="2"/>
      <c r="H73" s="1">
        <v>46078</v>
      </c>
      <c r="I73" t="s">
        <v>50</v>
      </c>
      <c r="J73" t="s">
        <v>105</v>
      </c>
      <c r="Q73" s="2"/>
    </row>
    <row r="74" spans="1:17" x14ac:dyDescent="0.3">
      <c r="A74" t="s">
        <v>21</v>
      </c>
      <c r="C74" s="2"/>
      <c r="E74" s="2"/>
      <c r="F74" s="6">
        <v>115838</v>
      </c>
      <c r="G74" s="13">
        <v>193180</v>
      </c>
      <c r="H74" s="1">
        <v>46079</v>
      </c>
      <c r="I74" t="s">
        <v>42</v>
      </c>
      <c r="Q74" s="2"/>
    </row>
    <row r="75" spans="1:17" x14ac:dyDescent="0.3">
      <c r="A75" t="s">
        <v>69</v>
      </c>
      <c r="C75" s="2"/>
      <c r="E75" s="2"/>
      <c r="F75" s="6">
        <v>162665</v>
      </c>
      <c r="G75" s="13">
        <v>30000</v>
      </c>
      <c r="H75" s="1">
        <v>46079</v>
      </c>
      <c r="I75" t="s">
        <v>47</v>
      </c>
      <c r="Q75" s="2"/>
    </row>
    <row r="76" spans="1:17" x14ac:dyDescent="0.3">
      <c r="C76" s="2"/>
      <c r="E76" s="2"/>
      <c r="F76" s="6">
        <v>6253730</v>
      </c>
      <c r="G76" s="13">
        <v>383926</v>
      </c>
      <c r="H76" s="1">
        <v>46079</v>
      </c>
      <c r="I76" t="s">
        <v>51</v>
      </c>
      <c r="Q76" s="2"/>
    </row>
    <row r="77" spans="1:17" x14ac:dyDescent="0.3">
      <c r="A77" t="s">
        <v>21</v>
      </c>
      <c r="C77" s="2"/>
      <c r="D77">
        <v>32327</v>
      </c>
      <c r="E77" s="2">
        <v>2200</v>
      </c>
      <c r="G77" s="2"/>
      <c r="H77" s="1">
        <v>46079</v>
      </c>
      <c r="I77" t="s">
        <v>52</v>
      </c>
      <c r="Q77" s="2"/>
    </row>
    <row r="78" spans="1:17" x14ac:dyDescent="0.3">
      <c r="A78" t="s">
        <v>21</v>
      </c>
      <c r="C78" s="2"/>
      <c r="E78" s="2"/>
      <c r="F78" s="6">
        <v>115861</v>
      </c>
      <c r="G78" s="13">
        <v>102230</v>
      </c>
      <c r="H78" s="1">
        <v>46080</v>
      </c>
      <c r="I78" t="s">
        <v>53</v>
      </c>
      <c r="Q78" s="2"/>
    </row>
    <row r="79" spans="1:17" x14ac:dyDescent="0.3">
      <c r="A79" t="s">
        <v>21</v>
      </c>
      <c r="C79" s="2"/>
      <c r="E79" s="2">
        <v>6438</v>
      </c>
      <c r="G79" s="2"/>
      <c r="H79" s="1">
        <v>46200</v>
      </c>
      <c r="I79" t="s">
        <v>54</v>
      </c>
    </row>
    <row r="80" spans="1:17" x14ac:dyDescent="0.3">
      <c r="C80" s="2"/>
      <c r="E80" s="2"/>
      <c r="F80">
        <v>16338</v>
      </c>
      <c r="G80" s="2">
        <v>1606500</v>
      </c>
      <c r="H80" s="1">
        <v>46081</v>
      </c>
      <c r="I80" t="s">
        <v>102</v>
      </c>
    </row>
    <row r="81" spans="1:11" x14ac:dyDescent="0.3">
      <c r="C81" s="2"/>
      <c r="E81" s="2"/>
      <c r="G81" s="2"/>
      <c r="H81" s="1"/>
    </row>
    <row r="82" spans="1:11" x14ac:dyDescent="0.3">
      <c r="C82" s="2"/>
      <c r="E82" s="2"/>
      <c r="F82">
        <v>12675</v>
      </c>
      <c r="G82" s="13">
        <v>37502</v>
      </c>
      <c r="H82" s="1">
        <v>46081</v>
      </c>
      <c r="I82" t="s">
        <v>55</v>
      </c>
    </row>
    <row r="83" spans="1:11" x14ac:dyDescent="0.3">
      <c r="A83" t="s">
        <v>69</v>
      </c>
      <c r="C83" s="2"/>
      <c r="E83" s="2"/>
      <c r="F83">
        <v>12676</v>
      </c>
      <c r="G83" s="5">
        <v>37502</v>
      </c>
      <c r="H83" s="1">
        <v>46081</v>
      </c>
      <c r="I83" t="s">
        <v>55</v>
      </c>
    </row>
    <row r="84" spans="1:11" x14ac:dyDescent="0.3">
      <c r="A84" t="s">
        <v>21</v>
      </c>
      <c r="C84" s="2"/>
      <c r="E84" s="2"/>
      <c r="G84" s="5">
        <v>79000</v>
      </c>
      <c r="H84" s="1">
        <v>46081</v>
      </c>
      <c r="I84" t="s">
        <v>55</v>
      </c>
    </row>
    <row r="85" spans="1:11" x14ac:dyDescent="0.3">
      <c r="F85" s="6">
        <v>8502</v>
      </c>
      <c r="G85" s="11">
        <v>140073</v>
      </c>
      <c r="H85" s="1">
        <v>46081</v>
      </c>
      <c r="I85" t="s">
        <v>101</v>
      </c>
      <c r="J85" t="s">
        <v>32</v>
      </c>
      <c r="K85" s="6"/>
    </row>
    <row r="86" spans="1:11" x14ac:dyDescent="0.3">
      <c r="F86">
        <v>1121</v>
      </c>
      <c r="G86" s="11">
        <v>633199</v>
      </c>
      <c r="H86" s="1">
        <v>46081</v>
      </c>
      <c r="I86" t="s">
        <v>43</v>
      </c>
      <c r="J86" t="s">
        <v>103</v>
      </c>
    </row>
    <row r="87" spans="1:11" x14ac:dyDescent="0.3">
      <c r="G87" s="11"/>
      <c r="H87" s="1"/>
    </row>
    <row r="88" spans="1:11" x14ac:dyDescent="0.3">
      <c r="G88" s="11"/>
      <c r="H88" s="1"/>
    </row>
    <row r="89" spans="1:11" x14ac:dyDescent="0.3">
      <c r="G89" s="11"/>
      <c r="H89" s="1"/>
    </row>
    <row r="90" spans="1:11" x14ac:dyDescent="0.3">
      <c r="G90" s="11">
        <f>SUM(G11:G89)</f>
        <v>8324242</v>
      </c>
      <c r="H90" s="1"/>
    </row>
    <row r="91" spans="1:11" x14ac:dyDescent="0.3">
      <c r="G91" s="11"/>
      <c r="H91" s="1"/>
    </row>
    <row r="92" spans="1:11" x14ac:dyDescent="0.3">
      <c r="G92" s="11"/>
      <c r="H92" s="1"/>
    </row>
    <row r="93" spans="1:11" x14ac:dyDescent="0.3">
      <c r="G93" s="11"/>
      <c r="H93" s="1"/>
    </row>
    <row r="94" spans="1:11" x14ac:dyDescent="0.3">
      <c r="C94" s="2"/>
      <c r="E94" s="2"/>
      <c r="G94" s="2"/>
    </row>
    <row r="95" spans="1:11" x14ac:dyDescent="0.3">
      <c r="C95" s="2"/>
      <c r="E95" s="2"/>
      <c r="G95" s="2"/>
    </row>
    <row r="96" spans="1:11" x14ac:dyDescent="0.3">
      <c r="C96" s="2"/>
      <c r="E96" s="2"/>
      <c r="G96" s="2"/>
    </row>
    <row r="97" spans="3:7" x14ac:dyDescent="0.3">
      <c r="C97" s="2"/>
      <c r="E97" s="2"/>
      <c r="G97" s="2"/>
    </row>
    <row r="98" spans="3:7" x14ac:dyDescent="0.3">
      <c r="C98" s="2"/>
      <c r="E98" s="2"/>
      <c r="G98" s="2"/>
    </row>
    <row r="99" spans="3:7" x14ac:dyDescent="0.3">
      <c r="C99" s="2"/>
      <c r="E99" s="2"/>
      <c r="G99" s="2"/>
    </row>
    <row r="100" spans="3:7" x14ac:dyDescent="0.3">
      <c r="C100" s="2"/>
      <c r="E100" s="2"/>
      <c r="G100" s="2"/>
    </row>
    <row r="142" spans="3:7" x14ac:dyDescent="0.3">
      <c r="C142" s="2"/>
      <c r="G142" s="11"/>
    </row>
    <row r="143" spans="3:7" x14ac:dyDescent="0.3">
      <c r="C143" s="12"/>
    </row>
  </sheetData>
  <pageMargins left="0.7" right="0.7" top="0.75" bottom="0.75" header="0.3" footer="0.3"/>
  <pageSetup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872E6-2FCE-4E96-9608-72B5A1D1588C}">
  <dimension ref="A1:L62"/>
  <sheetViews>
    <sheetView workbookViewId="0">
      <pane ySplit="4" topLeftCell="A5" activePane="bottomLeft" state="frozen"/>
      <selection pane="bottomLeft" activeCell="F21" sqref="F21"/>
    </sheetView>
  </sheetViews>
  <sheetFormatPr baseColWidth="10" defaultRowHeight="14.4" x14ac:dyDescent="0.3"/>
  <cols>
    <col min="1" max="1" width="14.77734375" customWidth="1"/>
    <col min="2" max="2" width="7.33203125" customWidth="1"/>
    <col min="9" max="9" width="14.21875" customWidth="1"/>
    <col min="10" max="10" width="16.21875" customWidth="1"/>
  </cols>
  <sheetData>
    <row r="1" spans="1:9" x14ac:dyDescent="0.3">
      <c r="A1" s="4" t="s">
        <v>56</v>
      </c>
      <c r="C1" s="2"/>
      <c r="E1" s="2"/>
      <c r="G1" s="2"/>
    </row>
    <row r="2" spans="1:9" x14ac:dyDescent="0.3">
      <c r="A2" s="4"/>
      <c r="C2" s="2"/>
      <c r="E2" s="2"/>
      <c r="G2" s="2"/>
    </row>
    <row r="3" spans="1:9" x14ac:dyDescent="0.3">
      <c r="A3" s="4"/>
      <c r="C3" s="2"/>
      <c r="E3" s="2"/>
      <c r="G3" s="2"/>
    </row>
    <row r="4" spans="1:9" x14ac:dyDescent="0.3">
      <c r="A4" t="s">
        <v>9</v>
      </c>
      <c r="B4" t="s">
        <v>3</v>
      </c>
      <c r="C4" t="s">
        <v>7</v>
      </c>
      <c r="D4" t="s">
        <v>4</v>
      </c>
      <c r="E4" s="2" t="s">
        <v>7</v>
      </c>
      <c r="F4" t="s">
        <v>5</v>
      </c>
      <c r="G4" t="s">
        <v>7</v>
      </c>
      <c r="H4" t="s">
        <v>6</v>
      </c>
      <c r="I4" t="s">
        <v>8</v>
      </c>
    </row>
    <row r="5" spans="1:9" x14ac:dyDescent="0.3">
      <c r="E5" s="2"/>
    </row>
    <row r="6" spans="1:9" x14ac:dyDescent="0.3">
      <c r="E6" s="2"/>
    </row>
    <row r="7" spans="1:9" x14ac:dyDescent="0.3">
      <c r="E7" s="2"/>
      <c r="G7" s="2"/>
    </row>
    <row r="8" spans="1:9" x14ac:dyDescent="0.3">
      <c r="C8" s="2"/>
      <c r="E8" s="2"/>
      <c r="G8" s="2"/>
    </row>
    <row r="9" spans="1:9" x14ac:dyDescent="0.3">
      <c r="A9" t="s">
        <v>21</v>
      </c>
      <c r="C9" s="2">
        <v>140000</v>
      </c>
      <c r="E9" s="2"/>
      <c r="G9" s="2"/>
      <c r="H9" s="1">
        <v>46083</v>
      </c>
    </row>
    <row r="10" spans="1:9" x14ac:dyDescent="0.3">
      <c r="A10" t="s">
        <v>21</v>
      </c>
      <c r="C10" s="2">
        <v>1000000</v>
      </c>
      <c r="E10" s="2"/>
      <c r="G10" s="2"/>
      <c r="H10" s="1">
        <v>46083</v>
      </c>
      <c r="I10" t="s">
        <v>57</v>
      </c>
    </row>
    <row r="11" spans="1:9" x14ac:dyDescent="0.3">
      <c r="A11" t="s">
        <v>21</v>
      </c>
      <c r="C11" s="2"/>
      <c r="E11" s="2"/>
      <c r="F11">
        <v>4038</v>
      </c>
      <c r="G11" s="2">
        <v>387615</v>
      </c>
      <c r="H11" s="1">
        <v>46083</v>
      </c>
      <c r="I11" t="s">
        <v>58</v>
      </c>
    </row>
    <row r="12" spans="1:9" x14ac:dyDescent="0.3">
      <c r="A12" t="s">
        <v>21</v>
      </c>
      <c r="C12" s="2">
        <v>2000000</v>
      </c>
      <c r="E12" s="2"/>
      <c r="G12" s="2"/>
      <c r="H12" s="1">
        <v>46084</v>
      </c>
      <c r="I12" t="s">
        <v>60</v>
      </c>
    </row>
    <row r="13" spans="1:9" x14ac:dyDescent="0.3">
      <c r="A13" t="s">
        <v>61</v>
      </c>
      <c r="C13" s="2">
        <v>970422</v>
      </c>
      <c r="E13" s="2"/>
      <c r="G13" s="2"/>
      <c r="H13" s="1">
        <v>46084</v>
      </c>
      <c r="I13" t="s">
        <v>62</v>
      </c>
    </row>
    <row r="14" spans="1:9" x14ac:dyDescent="0.3">
      <c r="A14" t="s">
        <v>63</v>
      </c>
      <c r="C14" s="2">
        <v>20000</v>
      </c>
      <c r="G14" s="2"/>
      <c r="H14" s="1">
        <v>46084</v>
      </c>
      <c r="I14" t="s">
        <v>64</v>
      </c>
    </row>
    <row r="15" spans="1:9" x14ac:dyDescent="0.3">
      <c r="A15" t="s">
        <v>21</v>
      </c>
      <c r="C15" s="2">
        <v>227500</v>
      </c>
      <c r="G15" s="2"/>
      <c r="H15" s="1">
        <v>46084</v>
      </c>
      <c r="I15" t="s">
        <v>65</v>
      </c>
    </row>
    <row r="16" spans="1:9" x14ac:dyDescent="0.3">
      <c r="A16" t="s">
        <v>21</v>
      </c>
      <c r="C16" s="2">
        <v>1256000</v>
      </c>
      <c r="G16" s="2"/>
      <c r="H16" s="1">
        <v>46084</v>
      </c>
      <c r="I16" t="s">
        <v>66</v>
      </c>
    </row>
    <row r="17" spans="1:12" x14ac:dyDescent="0.3">
      <c r="A17" t="s">
        <v>21</v>
      </c>
      <c r="C17" s="2">
        <v>29670</v>
      </c>
      <c r="G17" s="2"/>
      <c r="H17" s="1">
        <v>46084</v>
      </c>
      <c r="I17" t="s">
        <v>67</v>
      </c>
    </row>
    <row r="18" spans="1:12" x14ac:dyDescent="0.3">
      <c r="C18" s="2"/>
      <c r="D18">
        <v>15560</v>
      </c>
      <c r="E18">
        <v>16080</v>
      </c>
      <c r="G18" s="2"/>
      <c r="H18" s="1">
        <v>46084</v>
      </c>
      <c r="I18" t="s">
        <v>68</v>
      </c>
    </row>
    <row r="19" spans="1:12" x14ac:dyDescent="0.3">
      <c r="A19" t="s">
        <v>69</v>
      </c>
      <c r="C19" s="2"/>
      <c r="E19">
        <v>5500</v>
      </c>
      <c r="G19" s="2"/>
    </row>
    <row r="20" spans="1:12" x14ac:dyDescent="0.3">
      <c r="A20" t="s">
        <v>70</v>
      </c>
      <c r="C20" s="2">
        <v>42900</v>
      </c>
      <c r="G20" s="2"/>
      <c r="H20" s="1">
        <v>46085</v>
      </c>
      <c r="I20" t="s">
        <v>71</v>
      </c>
      <c r="J20" t="s">
        <v>120</v>
      </c>
    </row>
    <row r="21" spans="1:12" x14ac:dyDescent="0.3">
      <c r="A21" t="s">
        <v>69</v>
      </c>
      <c r="C21" s="2"/>
      <c r="F21" s="9">
        <v>12480</v>
      </c>
      <c r="G21" s="2">
        <v>9000</v>
      </c>
      <c r="H21" s="1">
        <v>46085</v>
      </c>
      <c r="I21" t="s">
        <v>72</v>
      </c>
    </row>
    <row r="22" spans="1:12" x14ac:dyDescent="0.3">
      <c r="C22" s="2"/>
      <c r="D22">
        <v>19451526</v>
      </c>
      <c r="E22">
        <v>3660</v>
      </c>
      <c r="G22" s="2"/>
      <c r="H22" s="1">
        <v>46086</v>
      </c>
      <c r="I22" t="s">
        <v>33</v>
      </c>
    </row>
    <row r="23" spans="1:12" x14ac:dyDescent="0.3">
      <c r="A23" t="s">
        <v>21</v>
      </c>
      <c r="C23" s="2">
        <v>12000</v>
      </c>
      <c r="G23" s="2"/>
      <c r="H23" s="1">
        <v>46086</v>
      </c>
      <c r="I23" t="s">
        <v>73</v>
      </c>
      <c r="J23" t="s">
        <v>121</v>
      </c>
    </row>
    <row r="24" spans="1:12" x14ac:dyDescent="0.3">
      <c r="A24" t="s">
        <v>69</v>
      </c>
      <c r="C24" s="2"/>
      <c r="F24" s="6">
        <v>116047</v>
      </c>
      <c r="G24" s="2">
        <v>118100</v>
      </c>
      <c r="H24" s="1">
        <v>46087</v>
      </c>
      <c r="I24" t="s">
        <v>74</v>
      </c>
    </row>
    <row r="25" spans="1:12" x14ac:dyDescent="0.3">
      <c r="A25" t="s">
        <v>75</v>
      </c>
      <c r="C25" s="2">
        <v>180000</v>
      </c>
      <c r="G25" s="2"/>
      <c r="H25" s="1">
        <v>46087</v>
      </c>
      <c r="I25" t="s">
        <v>76</v>
      </c>
      <c r="L25" t="s">
        <v>68</v>
      </c>
    </row>
    <row r="26" spans="1:12" x14ac:dyDescent="0.3">
      <c r="A26" t="s">
        <v>69</v>
      </c>
      <c r="C26" s="2"/>
      <c r="F26" s="6">
        <v>12741</v>
      </c>
      <c r="G26" s="2">
        <v>191507</v>
      </c>
      <c r="H26" s="1">
        <v>46087</v>
      </c>
      <c r="I26" t="s">
        <v>77</v>
      </c>
    </row>
    <row r="27" spans="1:12" x14ac:dyDescent="0.3">
      <c r="A27" t="s">
        <v>75</v>
      </c>
      <c r="C27" s="2">
        <v>212000</v>
      </c>
      <c r="G27" s="2"/>
      <c r="H27" s="1">
        <v>46087</v>
      </c>
      <c r="I27" t="s">
        <v>78</v>
      </c>
      <c r="L27" t="s">
        <v>122</v>
      </c>
    </row>
    <row r="28" spans="1:12" x14ac:dyDescent="0.3">
      <c r="A28" t="s">
        <v>21</v>
      </c>
      <c r="C28" s="2">
        <v>189638</v>
      </c>
      <c r="G28" s="2"/>
      <c r="H28" s="1">
        <v>46087</v>
      </c>
      <c r="I28" t="s">
        <v>79</v>
      </c>
      <c r="L28" t="s">
        <v>123</v>
      </c>
    </row>
    <row r="29" spans="1:12" x14ac:dyDescent="0.3">
      <c r="C29" s="2"/>
      <c r="F29" s="6">
        <v>39412</v>
      </c>
      <c r="G29" s="2">
        <v>24900</v>
      </c>
      <c r="H29" s="1">
        <v>46087</v>
      </c>
      <c r="I29" t="s">
        <v>33</v>
      </c>
    </row>
    <row r="30" spans="1:12" x14ac:dyDescent="0.3">
      <c r="A30" t="s">
        <v>82</v>
      </c>
      <c r="C30" s="2"/>
      <c r="D30">
        <v>11833</v>
      </c>
      <c r="E30">
        <v>8260</v>
      </c>
      <c r="G30" s="2"/>
      <c r="H30" s="1">
        <v>46087</v>
      </c>
      <c r="I30" t="s">
        <v>81</v>
      </c>
    </row>
    <row r="31" spans="1:12" x14ac:dyDescent="0.3">
      <c r="A31" t="s">
        <v>69</v>
      </c>
      <c r="C31" s="2"/>
      <c r="F31" s="6">
        <v>240</v>
      </c>
      <c r="G31" s="2">
        <v>14300</v>
      </c>
      <c r="H31" s="1">
        <v>46088</v>
      </c>
      <c r="I31" t="s">
        <v>87</v>
      </c>
    </row>
    <row r="32" spans="1:12" x14ac:dyDescent="0.3">
      <c r="A32" t="s">
        <v>21</v>
      </c>
      <c r="C32" s="2">
        <v>53800</v>
      </c>
      <c r="G32" s="2"/>
      <c r="H32" s="1">
        <v>46088</v>
      </c>
      <c r="I32" t="s">
        <v>65</v>
      </c>
      <c r="K32" t="s">
        <v>90</v>
      </c>
    </row>
    <row r="33" spans="1:11" x14ac:dyDescent="0.3">
      <c r="C33" s="2"/>
      <c r="F33">
        <v>5563117</v>
      </c>
      <c r="G33" s="2">
        <v>29072</v>
      </c>
      <c r="H33" s="1">
        <v>46088</v>
      </c>
      <c r="I33" t="s">
        <v>89</v>
      </c>
    </row>
    <row r="34" spans="1:11" x14ac:dyDescent="0.3">
      <c r="A34" t="s">
        <v>21</v>
      </c>
      <c r="C34" s="2">
        <v>24000</v>
      </c>
      <c r="G34" s="2"/>
      <c r="H34" s="1">
        <v>46088</v>
      </c>
      <c r="I34" t="s">
        <v>91</v>
      </c>
      <c r="J34" t="s">
        <v>92</v>
      </c>
    </row>
    <row r="35" spans="1:11" x14ac:dyDescent="0.3">
      <c r="A35" t="s">
        <v>21</v>
      </c>
      <c r="C35" s="2">
        <v>7000</v>
      </c>
      <c r="G35" s="2"/>
      <c r="H35" s="1">
        <v>46088</v>
      </c>
      <c r="I35" t="s">
        <v>93</v>
      </c>
    </row>
    <row r="36" spans="1:11" x14ac:dyDescent="0.3">
      <c r="A36" t="s">
        <v>69</v>
      </c>
      <c r="C36" s="2"/>
      <c r="E36" s="14">
        <v>5000</v>
      </c>
      <c r="G36" s="2"/>
      <c r="H36" s="1">
        <v>46089</v>
      </c>
      <c r="I36" t="s">
        <v>94</v>
      </c>
    </row>
    <row r="37" spans="1:11" x14ac:dyDescent="0.3">
      <c r="A37" t="s">
        <v>21</v>
      </c>
      <c r="C37" s="2">
        <v>167000</v>
      </c>
      <c r="G37" s="2"/>
      <c r="H37" s="1">
        <v>46089</v>
      </c>
      <c r="I37" t="s">
        <v>124</v>
      </c>
    </row>
    <row r="38" spans="1:11" x14ac:dyDescent="0.3">
      <c r="A38" t="s">
        <v>21</v>
      </c>
      <c r="C38" s="2">
        <v>1000000</v>
      </c>
      <c r="G38" s="2"/>
      <c r="H38" s="1">
        <v>46090</v>
      </c>
      <c r="I38" t="s">
        <v>66</v>
      </c>
    </row>
    <row r="39" spans="1:11" x14ac:dyDescent="0.3">
      <c r="A39" t="s">
        <v>21</v>
      </c>
      <c r="C39" s="2">
        <v>836216</v>
      </c>
      <c r="G39" s="2"/>
      <c r="H39" s="1">
        <v>46090</v>
      </c>
      <c r="I39" t="s">
        <v>78</v>
      </c>
      <c r="K39" t="s">
        <v>95</v>
      </c>
    </row>
    <row r="40" spans="1:11" x14ac:dyDescent="0.3">
      <c r="A40" t="s">
        <v>69</v>
      </c>
      <c r="C40" s="2"/>
      <c r="F40">
        <v>163832</v>
      </c>
      <c r="G40" s="2">
        <v>38153</v>
      </c>
      <c r="H40" s="1">
        <v>46092</v>
      </c>
      <c r="I40" t="s">
        <v>96</v>
      </c>
    </row>
    <row r="41" spans="1:11" x14ac:dyDescent="0.3">
      <c r="A41" t="s">
        <v>69</v>
      </c>
      <c r="C41" s="2"/>
      <c r="D41">
        <v>4302</v>
      </c>
      <c r="E41" s="14">
        <v>9900</v>
      </c>
      <c r="G41" s="2"/>
      <c r="H41" s="1">
        <v>46092</v>
      </c>
      <c r="I41" t="s">
        <v>97</v>
      </c>
    </row>
    <row r="42" spans="1:11" x14ac:dyDescent="0.3">
      <c r="A42" t="s">
        <v>69</v>
      </c>
      <c r="C42" s="2"/>
      <c r="E42" s="14">
        <v>5000</v>
      </c>
      <c r="G42" s="2"/>
      <c r="H42" s="1">
        <v>46092</v>
      </c>
      <c r="I42" t="s">
        <v>98</v>
      </c>
    </row>
    <row r="43" spans="1:11" x14ac:dyDescent="0.3">
      <c r="A43" t="s">
        <v>21</v>
      </c>
      <c r="C43" s="2">
        <v>140400</v>
      </c>
      <c r="G43" s="2"/>
      <c r="H43" s="1">
        <v>46092</v>
      </c>
      <c r="I43" t="s">
        <v>68</v>
      </c>
    </row>
    <row r="44" spans="1:11" x14ac:dyDescent="0.3">
      <c r="A44" t="s">
        <v>69</v>
      </c>
      <c r="C44" s="2"/>
      <c r="E44" s="14">
        <v>4800</v>
      </c>
      <c r="G44" s="2"/>
      <c r="H44" s="1">
        <v>46092</v>
      </c>
      <c r="I44" t="s">
        <v>99</v>
      </c>
    </row>
    <row r="45" spans="1:11" x14ac:dyDescent="0.3">
      <c r="A45" t="s">
        <v>21</v>
      </c>
      <c r="C45" s="2">
        <v>17500</v>
      </c>
      <c r="G45" s="2"/>
      <c r="H45" s="1">
        <v>46092</v>
      </c>
      <c r="I45" t="s">
        <v>73</v>
      </c>
      <c r="J45" t="s">
        <v>100</v>
      </c>
    </row>
    <row r="46" spans="1:11" x14ac:dyDescent="0.3">
      <c r="A46" t="s">
        <v>21</v>
      </c>
      <c r="C46" s="2">
        <v>21500</v>
      </c>
      <c r="G46" s="2"/>
      <c r="H46" s="1"/>
      <c r="I46" t="s">
        <v>91</v>
      </c>
    </row>
    <row r="47" spans="1:11" x14ac:dyDescent="0.3">
      <c r="C47" s="2"/>
      <c r="G47" s="2"/>
    </row>
    <row r="48" spans="1:11" x14ac:dyDescent="0.3">
      <c r="C48" s="2"/>
      <c r="F48">
        <v>646842</v>
      </c>
      <c r="G48" s="2">
        <v>54332</v>
      </c>
      <c r="H48" s="1">
        <v>46094</v>
      </c>
      <c r="I48" t="s">
        <v>39</v>
      </c>
      <c r="J48" t="s">
        <v>42</v>
      </c>
    </row>
    <row r="49" spans="1:10" x14ac:dyDescent="0.3">
      <c r="C49" s="2"/>
      <c r="F49">
        <v>2586</v>
      </c>
      <c r="G49" s="2">
        <v>8600</v>
      </c>
      <c r="H49" s="1">
        <v>46094</v>
      </c>
      <c r="I49" t="s">
        <v>109</v>
      </c>
      <c r="J49" t="s">
        <v>110</v>
      </c>
    </row>
    <row r="50" spans="1:10" x14ac:dyDescent="0.3">
      <c r="C50" s="2"/>
      <c r="F50">
        <v>6278399</v>
      </c>
      <c r="G50" s="2">
        <v>129683</v>
      </c>
      <c r="H50" s="1">
        <v>46094</v>
      </c>
      <c r="I50" t="s">
        <v>111</v>
      </c>
      <c r="J50" t="s">
        <v>42</v>
      </c>
    </row>
    <row r="51" spans="1:10" x14ac:dyDescent="0.3">
      <c r="A51" t="s">
        <v>21</v>
      </c>
      <c r="C51" s="2"/>
      <c r="F51">
        <v>6685</v>
      </c>
      <c r="G51" s="2">
        <v>19400</v>
      </c>
      <c r="H51" s="1">
        <v>46094</v>
      </c>
      <c r="I51" t="s">
        <v>112</v>
      </c>
      <c r="J51" t="s">
        <v>125</v>
      </c>
    </row>
    <row r="52" spans="1:10" x14ac:dyDescent="0.3">
      <c r="A52" t="s">
        <v>21</v>
      </c>
      <c r="C52" s="2">
        <v>39160</v>
      </c>
      <c r="G52" s="2"/>
      <c r="H52" s="1">
        <v>46094</v>
      </c>
      <c r="I52" t="s">
        <v>126</v>
      </c>
    </row>
    <row r="53" spans="1:10" x14ac:dyDescent="0.3">
      <c r="C53" s="2"/>
      <c r="F53">
        <v>646851</v>
      </c>
      <c r="G53" s="2">
        <v>8310</v>
      </c>
      <c r="H53" s="1">
        <v>46096</v>
      </c>
      <c r="I53" t="s">
        <v>39</v>
      </c>
    </row>
    <row r="54" spans="1:10" x14ac:dyDescent="0.3">
      <c r="A54" t="s">
        <v>21</v>
      </c>
      <c r="C54" s="2">
        <v>39500</v>
      </c>
      <c r="G54" s="2"/>
      <c r="H54" s="1">
        <v>46096</v>
      </c>
      <c r="J54" t="s">
        <v>113</v>
      </c>
    </row>
    <row r="55" spans="1:10" x14ac:dyDescent="0.3">
      <c r="C55" s="2">
        <v>100000</v>
      </c>
      <c r="G55" s="2"/>
      <c r="H55" s="1">
        <v>46096</v>
      </c>
      <c r="I55" t="s">
        <v>114</v>
      </c>
    </row>
    <row r="56" spans="1:10" x14ac:dyDescent="0.3">
      <c r="A56" t="s">
        <v>21</v>
      </c>
      <c r="C56" s="2">
        <v>30000</v>
      </c>
      <c r="G56" s="2"/>
      <c r="H56" s="1">
        <v>46096</v>
      </c>
      <c r="I56" t="s">
        <v>115</v>
      </c>
    </row>
    <row r="57" spans="1:10" x14ac:dyDescent="0.3">
      <c r="A57" t="s">
        <v>21</v>
      </c>
      <c r="C57" s="2">
        <v>1260000</v>
      </c>
      <c r="G57" s="2"/>
      <c r="H57" s="1">
        <v>46097</v>
      </c>
      <c r="I57" t="s">
        <v>116</v>
      </c>
      <c r="J57" t="s">
        <v>117</v>
      </c>
    </row>
    <row r="58" spans="1:10" x14ac:dyDescent="0.3">
      <c r="A58" t="s">
        <v>21</v>
      </c>
      <c r="C58" s="2">
        <v>130000</v>
      </c>
      <c r="G58" s="2"/>
      <c r="H58" s="1">
        <v>46097</v>
      </c>
      <c r="I58" t="s">
        <v>118</v>
      </c>
      <c r="J58" t="s">
        <v>127</v>
      </c>
    </row>
    <row r="59" spans="1:10" x14ac:dyDescent="0.3">
      <c r="A59" t="s">
        <v>21</v>
      </c>
      <c r="C59" s="2"/>
      <c r="F59">
        <v>392</v>
      </c>
      <c r="G59" s="2">
        <v>252614</v>
      </c>
      <c r="H59" s="1">
        <v>46097</v>
      </c>
      <c r="I59" t="s">
        <v>119</v>
      </c>
    </row>
    <row r="60" spans="1:10" x14ac:dyDescent="0.3">
      <c r="A60" t="s">
        <v>21</v>
      </c>
      <c r="C60" s="2">
        <v>1000000</v>
      </c>
      <c r="G60" s="2"/>
      <c r="H60" s="1">
        <v>46098</v>
      </c>
      <c r="I60" t="s">
        <v>128</v>
      </c>
      <c r="J60" t="s">
        <v>129</v>
      </c>
    </row>
    <row r="61" spans="1:10" x14ac:dyDescent="0.3">
      <c r="C61" s="2"/>
      <c r="G61" s="2"/>
    </row>
    <row r="62" spans="1:10" x14ac:dyDescent="0.3">
      <c r="C62" s="2"/>
      <c r="G62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2F05F-AFBB-4919-9899-ECC9EBB75E4C}">
  <dimension ref="B7:D85"/>
  <sheetViews>
    <sheetView topLeftCell="A55" workbookViewId="0">
      <selection activeCell="L79" sqref="L79"/>
    </sheetView>
  </sheetViews>
  <sheetFormatPr baseColWidth="10" defaultRowHeight="14.4" x14ac:dyDescent="0.3"/>
  <sheetData>
    <row r="7" spans="2:4" x14ac:dyDescent="0.3">
      <c r="D7" s="1"/>
    </row>
    <row r="8" spans="2:4" x14ac:dyDescent="0.3">
      <c r="B8">
        <v>446</v>
      </c>
      <c r="C8" s="14">
        <v>85002</v>
      </c>
      <c r="D8" s="1">
        <v>46060</v>
      </c>
    </row>
    <row r="9" spans="2:4" x14ac:dyDescent="0.3">
      <c r="B9">
        <v>6590</v>
      </c>
      <c r="C9">
        <v>20474</v>
      </c>
      <c r="D9" s="1">
        <v>46062</v>
      </c>
    </row>
    <row r="10" spans="2:4" x14ac:dyDescent="0.3">
      <c r="C10" s="2"/>
    </row>
    <row r="11" spans="2:4" x14ac:dyDescent="0.3">
      <c r="B11" s="6">
        <v>8463</v>
      </c>
      <c r="C11" s="2">
        <v>165028</v>
      </c>
      <c r="D11" s="1">
        <v>46065</v>
      </c>
    </row>
    <row r="12" spans="2:4" x14ac:dyDescent="0.3">
      <c r="B12" s="6">
        <v>12480</v>
      </c>
      <c r="C12" s="2">
        <v>50006</v>
      </c>
      <c r="D12" s="1">
        <v>46065</v>
      </c>
    </row>
    <row r="13" spans="2:4" x14ac:dyDescent="0.3">
      <c r="C13" s="2"/>
      <c r="D13" s="1">
        <v>46065</v>
      </c>
    </row>
    <row r="14" spans="2:4" x14ac:dyDescent="0.3">
      <c r="B14" s="6">
        <v>635268</v>
      </c>
      <c r="C14" s="13">
        <v>3486</v>
      </c>
      <c r="D14" s="1">
        <v>46065</v>
      </c>
    </row>
    <row r="15" spans="2:4" x14ac:dyDescent="0.3">
      <c r="B15" s="6">
        <v>635267</v>
      </c>
      <c r="C15" s="2">
        <v>86558</v>
      </c>
      <c r="D15" s="1">
        <v>46065</v>
      </c>
    </row>
    <row r="16" spans="2:4" x14ac:dyDescent="0.3">
      <c r="B16" s="6">
        <v>115485</v>
      </c>
      <c r="C16" s="2">
        <v>81717</v>
      </c>
      <c r="D16" s="1">
        <v>46065</v>
      </c>
    </row>
    <row r="17" spans="2:4" x14ac:dyDescent="0.3">
      <c r="B17" s="6">
        <v>115510</v>
      </c>
      <c r="C17" s="2">
        <v>89940</v>
      </c>
      <c r="D17" s="1">
        <v>46065</v>
      </c>
    </row>
    <row r="18" spans="2:4" x14ac:dyDescent="0.3">
      <c r="C18" s="2"/>
      <c r="D18" s="1">
        <v>46065</v>
      </c>
    </row>
    <row r="19" spans="2:4" x14ac:dyDescent="0.3">
      <c r="C19" s="2"/>
      <c r="D19" s="1">
        <v>46065</v>
      </c>
    </row>
    <row r="20" spans="2:4" x14ac:dyDescent="0.3">
      <c r="C20" s="2"/>
      <c r="D20" s="1">
        <v>46065</v>
      </c>
    </row>
    <row r="21" spans="2:4" x14ac:dyDescent="0.3">
      <c r="B21" s="6">
        <v>8463</v>
      </c>
      <c r="C21" s="2">
        <v>165028</v>
      </c>
      <c r="D21" s="1">
        <v>46065</v>
      </c>
    </row>
    <row r="22" spans="2:4" x14ac:dyDescent="0.3">
      <c r="C22" s="2"/>
      <c r="D22" s="1">
        <v>46066</v>
      </c>
    </row>
    <row r="23" spans="2:4" x14ac:dyDescent="0.3">
      <c r="C23" s="2"/>
      <c r="D23" s="1">
        <v>46066</v>
      </c>
    </row>
    <row r="24" spans="2:4" x14ac:dyDescent="0.3">
      <c r="B24" s="6"/>
      <c r="C24" s="13"/>
      <c r="D24" s="1"/>
    </row>
    <row r="25" spans="2:4" x14ac:dyDescent="0.3">
      <c r="B25">
        <v>2573</v>
      </c>
      <c r="C25" s="2">
        <v>18004</v>
      </c>
      <c r="D25" s="1">
        <v>46066</v>
      </c>
    </row>
    <row r="26" spans="2:4" x14ac:dyDescent="0.3">
      <c r="C26" s="2"/>
    </row>
    <row r="27" spans="2:4" x14ac:dyDescent="0.3">
      <c r="C27" s="2"/>
      <c r="D27" s="1">
        <v>46066</v>
      </c>
    </row>
    <row r="28" spans="2:4" x14ac:dyDescent="0.3">
      <c r="C28" s="2"/>
      <c r="D28" s="1">
        <v>46066</v>
      </c>
    </row>
    <row r="29" spans="2:4" x14ac:dyDescent="0.3">
      <c r="C29" s="2"/>
      <c r="D29" s="1">
        <v>46066</v>
      </c>
    </row>
    <row r="30" spans="2:4" x14ac:dyDescent="0.3">
      <c r="B30">
        <v>12495</v>
      </c>
      <c r="C30" s="2">
        <v>202500</v>
      </c>
      <c r="D30" s="1">
        <v>46066</v>
      </c>
    </row>
    <row r="31" spans="2:4" x14ac:dyDescent="0.3">
      <c r="C31" s="2"/>
      <c r="D31" s="1"/>
    </row>
    <row r="32" spans="2:4" x14ac:dyDescent="0.3">
      <c r="B32">
        <v>6226317</v>
      </c>
      <c r="C32" s="2">
        <v>139404</v>
      </c>
      <c r="D32" s="1">
        <v>46067</v>
      </c>
    </row>
    <row r="33" spans="2:4" x14ac:dyDescent="0.3">
      <c r="C33" s="2"/>
      <c r="D33" s="1">
        <v>46067</v>
      </c>
    </row>
    <row r="34" spans="2:4" x14ac:dyDescent="0.3">
      <c r="B34" s="6">
        <v>16246</v>
      </c>
      <c r="C34" s="13">
        <v>2562189</v>
      </c>
      <c r="D34" s="1">
        <v>46067</v>
      </c>
    </row>
    <row r="35" spans="2:4" x14ac:dyDescent="0.3">
      <c r="B35">
        <v>646705</v>
      </c>
      <c r="C35" s="2">
        <v>121180</v>
      </c>
      <c r="D35" s="1">
        <v>46067</v>
      </c>
    </row>
    <row r="36" spans="2:4" x14ac:dyDescent="0.3">
      <c r="C36" s="2"/>
      <c r="D36" s="1">
        <v>46067</v>
      </c>
    </row>
    <row r="37" spans="2:4" x14ac:dyDescent="0.3">
      <c r="C37" s="2"/>
      <c r="D37" s="1">
        <v>46069</v>
      </c>
    </row>
    <row r="38" spans="2:4" x14ac:dyDescent="0.3">
      <c r="C38" s="2"/>
      <c r="D38" s="1"/>
    </row>
    <row r="39" spans="2:4" x14ac:dyDescent="0.3">
      <c r="B39" s="6">
        <v>8476</v>
      </c>
      <c r="C39" s="13">
        <v>125700</v>
      </c>
      <c r="D39" s="1">
        <v>46069</v>
      </c>
    </row>
    <row r="40" spans="2:4" x14ac:dyDescent="0.3">
      <c r="B40">
        <v>88</v>
      </c>
      <c r="C40" s="13">
        <v>20000</v>
      </c>
      <c r="D40" s="1">
        <v>46069</v>
      </c>
    </row>
    <row r="41" spans="2:4" x14ac:dyDescent="0.3">
      <c r="C41" s="2"/>
      <c r="D41" s="1"/>
    </row>
    <row r="42" spans="2:4" x14ac:dyDescent="0.3">
      <c r="C42" s="2"/>
      <c r="D42" s="1">
        <v>46071</v>
      </c>
    </row>
    <row r="43" spans="2:4" x14ac:dyDescent="0.3">
      <c r="C43" s="13">
        <v>99240</v>
      </c>
      <c r="D43" s="1">
        <v>46071</v>
      </c>
    </row>
    <row r="44" spans="2:4" x14ac:dyDescent="0.3">
      <c r="C44" s="2"/>
      <c r="D44" s="1"/>
    </row>
    <row r="45" spans="2:4" x14ac:dyDescent="0.3">
      <c r="C45" s="2"/>
      <c r="D45" s="1">
        <v>46072</v>
      </c>
    </row>
    <row r="46" spans="2:4" x14ac:dyDescent="0.3">
      <c r="B46">
        <v>23688</v>
      </c>
      <c r="C46" s="2">
        <v>80000</v>
      </c>
      <c r="D46" s="1">
        <v>46072</v>
      </c>
    </row>
    <row r="47" spans="2:4" x14ac:dyDescent="0.3">
      <c r="B47">
        <v>6590</v>
      </c>
      <c r="C47" s="2">
        <v>20474</v>
      </c>
      <c r="D47" s="3">
        <v>46062</v>
      </c>
    </row>
    <row r="48" spans="2:4" x14ac:dyDescent="0.3">
      <c r="B48" s="6">
        <v>646731</v>
      </c>
      <c r="C48" s="2">
        <v>7590</v>
      </c>
      <c r="D48" s="1">
        <v>46072</v>
      </c>
    </row>
    <row r="49" spans="2:4" x14ac:dyDescent="0.3">
      <c r="B49" s="6">
        <v>115694</v>
      </c>
      <c r="C49" s="2">
        <v>163100</v>
      </c>
      <c r="D49" s="1">
        <v>46072</v>
      </c>
    </row>
    <row r="50" spans="2:4" x14ac:dyDescent="0.3">
      <c r="B50">
        <v>341</v>
      </c>
      <c r="C50" s="2">
        <v>341585</v>
      </c>
      <c r="D50" s="1">
        <v>46072</v>
      </c>
    </row>
    <row r="51" spans="2:4" x14ac:dyDescent="0.3">
      <c r="C51" s="2"/>
      <c r="D51" s="1"/>
    </row>
    <row r="52" spans="2:4" x14ac:dyDescent="0.3">
      <c r="B52" s="6"/>
      <c r="C52" s="2"/>
      <c r="D52" s="1"/>
    </row>
    <row r="53" spans="2:4" x14ac:dyDescent="0.3">
      <c r="B53">
        <v>6253533</v>
      </c>
      <c r="C53" s="2">
        <v>134497</v>
      </c>
      <c r="D53" s="1">
        <v>46073</v>
      </c>
    </row>
    <row r="54" spans="2:4" x14ac:dyDescent="0.3">
      <c r="B54" s="6">
        <v>8482</v>
      </c>
      <c r="C54" s="2">
        <v>145649</v>
      </c>
      <c r="D54" s="1">
        <v>46074</v>
      </c>
    </row>
    <row r="55" spans="2:4" x14ac:dyDescent="0.3">
      <c r="B55" s="6">
        <v>472</v>
      </c>
      <c r="C55" s="2">
        <v>63752</v>
      </c>
      <c r="D55" s="1">
        <v>46074</v>
      </c>
    </row>
    <row r="56" spans="2:4" x14ac:dyDescent="0.3">
      <c r="C56" s="2"/>
      <c r="D56" s="1"/>
    </row>
    <row r="57" spans="2:4" x14ac:dyDescent="0.3">
      <c r="B57" s="6">
        <v>646740</v>
      </c>
      <c r="C57" s="2">
        <v>39737</v>
      </c>
      <c r="D57" s="1">
        <v>46074</v>
      </c>
    </row>
    <row r="58" spans="2:4" x14ac:dyDescent="0.3">
      <c r="C58" s="2"/>
      <c r="D58" s="1">
        <v>46074</v>
      </c>
    </row>
    <row r="59" spans="2:4" x14ac:dyDescent="0.3">
      <c r="C59" s="2"/>
    </row>
    <row r="60" spans="2:4" x14ac:dyDescent="0.3">
      <c r="B60">
        <v>948</v>
      </c>
      <c r="C60" s="13">
        <v>17160</v>
      </c>
      <c r="D60" s="1">
        <v>46072</v>
      </c>
    </row>
    <row r="61" spans="2:4" x14ac:dyDescent="0.3">
      <c r="C61" s="2"/>
      <c r="D61" s="1">
        <v>46061</v>
      </c>
    </row>
    <row r="62" spans="2:4" x14ac:dyDescent="0.3">
      <c r="B62" s="10">
        <v>8013</v>
      </c>
      <c r="C62" s="13">
        <v>32130</v>
      </c>
      <c r="D62" s="1">
        <v>46083</v>
      </c>
    </row>
    <row r="63" spans="2:4" x14ac:dyDescent="0.3">
      <c r="C63" s="2"/>
      <c r="D63" s="1"/>
    </row>
    <row r="64" spans="2:4" x14ac:dyDescent="0.3">
      <c r="C64" s="2"/>
      <c r="D64" s="1">
        <v>46078</v>
      </c>
    </row>
    <row r="65" spans="2:4" x14ac:dyDescent="0.3">
      <c r="C65" s="2"/>
      <c r="D65" s="1">
        <v>46078</v>
      </c>
    </row>
    <row r="66" spans="2:4" x14ac:dyDescent="0.3">
      <c r="B66" s="6">
        <v>115838</v>
      </c>
      <c r="C66" s="13">
        <v>193180</v>
      </c>
      <c r="D66" s="1">
        <v>46079</v>
      </c>
    </row>
    <row r="67" spans="2:4" x14ac:dyDescent="0.3">
      <c r="B67" s="6">
        <v>162665</v>
      </c>
      <c r="C67" s="13">
        <v>30000</v>
      </c>
      <c r="D67" s="1">
        <v>46079</v>
      </c>
    </row>
    <row r="68" spans="2:4" x14ac:dyDescent="0.3">
      <c r="B68" s="6">
        <v>6253730</v>
      </c>
      <c r="C68" s="13">
        <v>383926</v>
      </c>
      <c r="D68" s="1">
        <v>46079</v>
      </c>
    </row>
    <row r="69" spans="2:4" x14ac:dyDescent="0.3">
      <c r="C69" s="2"/>
      <c r="D69" s="1">
        <v>46079</v>
      </c>
    </row>
    <row r="70" spans="2:4" x14ac:dyDescent="0.3">
      <c r="B70" s="6">
        <v>115861</v>
      </c>
      <c r="C70" s="13">
        <v>102230</v>
      </c>
      <c r="D70" s="1">
        <v>46080</v>
      </c>
    </row>
    <row r="71" spans="2:4" x14ac:dyDescent="0.3">
      <c r="C71" s="2"/>
      <c r="D71" s="1">
        <v>46200</v>
      </c>
    </row>
    <row r="72" spans="2:4" x14ac:dyDescent="0.3">
      <c r="B72">
        <v>16338</v>
      </c>
      <c r="C72" s="2">
        <v>1606500</v>
      </c>
      <c r="D72" s="1">
        <v>46081</v>
      </c>
    </row>
    <row r="73" spans="2:4" x14ac:dyDescent="0.3">
      <c r="C73" s="2"/>
      <c r="D73" s="1"/>
    </row>
    <row r="74" spans="2:4" x14ac:dyDescent="0.3">
      <c r="B74">
        <v>12675</v>
      </c>
      <c r="C74" s="13">
        <v>37502</v>
      </c>
      <c r="D74" s="1">
        <v>46081</v>
      </c>
    </row>
    <row r="75" spans="2:4" x14ac:dyDescent="0.3">
      <c r="B75">
        <v>12676</v>
      </c>
      <c r="C75" s="5">
        <v>37502</v>
      </c>
      <c r="D75" s="1">
        <v>46081</v>
      </c>
    </row>
    <row r="76" spans="2:4" x14ac:dyDescent="0.3">
      <c r="C76" s="5">
        <v>79000</v>
      </c>
      <c r="D76" s="1">
        <v>46081</v>
      </c>
    </row>
    <row r="77" spans="2:4" x14ac:dyDescent="0.3">
      <c r="B77" s="6">
        <v>8502</v>
      </c>
      <c r="C77" s="11">
        <v>140073</v>
      </c>
      <c r="D77" s="1">
        <v>46081</v>
      </c>
    </row>
    <row r="78" spans="2:4" x14ac:dyDescent="0.3">
      <c r="B78">
        <v>1121</v>
      </c>
      <c r="C78" s="11">
        <v>633199</v>
      </c>
      <c r="D78" s="1">
        <v>46081</v>
      </c>
    </row>
    <row r="79" spans="2:4" x14ac:dyDescent="0.3">
      <c r="C79" s="11"/>
      <c r="D79" s="1"/>
    </row>
    <row r="80" spans="2:4" x14ac:dyDescent="0.3">
      <c r="C80" s="11"/>
      <c r="D80" s="1"/>
    </row>
    <row r="81" spans="3:4" x14ac:dyDescent="0.3">
      <c r="C81" s="11"/>
      <c r="D81" s="1"/>
    </row>
    <row r="82" spans="3:4" x14ac:dyDescent="0.3">
      <c r="C82" s="11">
        <f>SUM(C3:C81)</f>
        <v>8324242</v>
      </c>
      <c r="D82" s="1"/>
    </row>
    <row r="83" spans="3:4" x14ac:dyDescent="0.3">
      <c r="C83" s="11"/>
      <c r="D83" s="1"/>
    </row>
    <row r="84" spans="3:4" x14ac:dyDescent="0.3">
      <c r="C84" s="11"/>
      <c r="D84" s="1"/>
    </row>
    <row r="85" spans="3:4" x14ac:dyDescent="0.3">
      <c r="C85" s="11"/>
      <c r="D85" s="1"/>
    </row>
  </sheetData>
  <pageMargins left="0.7" right="0.7" top="0.75" bottom="0.75" header="0.3" footer="0.3"/>
  <pageSetup orientation="portrait" horizontalDpi="0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DDAC2-A8F3-4144-86CA-B4E890FB1618}">
  <dimension ref="A1"/>
  <sheetViews>
    <sheetView workbookViewId="0">
      <selection activeCell="H11" sqref="H11"/>
    </sheetView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comp Feb 2026</vt:lpstr>
      <vt:lpstr>comp Marzo 2026</vt:lpstr>
      <vt:lpstr>comp Abril 2026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gomez</dc:creator>
  <cp:lastModifiedBy>carlos gomez</cp:lastModifiedBy>
  <cp:lastPrinted>2026-03-20T16:42:55Z</cp:lastPrinted>
  <dcterms:created xsi:type="dcterms:W3CDTF">2026-03-04T14:53:00Z</dcterms:created>
  <dcterms:modified xsi:type="dcterms:W3CDTF">2026-04-04T00:15:01Z</dcterms:modified>
</cp:coreProperties>
</file>